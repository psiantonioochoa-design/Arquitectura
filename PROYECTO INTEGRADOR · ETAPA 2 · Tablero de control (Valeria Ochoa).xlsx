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ABEZADO" sheetId="1" state="visible" r:id="rId1"/>
    <sheet xmlns:r="http://schemas.openxmlformats.org/officeDocument/2006/relationships" name="TABLERO DE CONTROL" sheetId="2" state="visible" r:id="rId2"/>
    <sheet xmlns:r="http://schemas.openxmlformats.org/officeDocument/2006/relationships" name="CONCLUSIÓN" sheetId="3" state="visible" r:id="rId3"/>
    <sheet xmlns:r="http://schemas.openxmlformats.org/officeDocument/2006/relationships" name="REGISTRO" sheetId="4" state="visible" r:id="rId4"/>
    <sheet xmlns:r="http://schemas.openxmlformats.org/officeDocument/2006/relationships" name="CÁLCULOS" sheetId="5" state="visible" r:id="rId5"/>
    <sheet xmlns:r="http://schemas.openxmlformats.org/officeDocument/2006/relationships" name="REFERENCIAS" sheetId="6" state="visible" r:id="rId6"/>
  </sheets>
  <definedNames>
    <definedName name="_xlnm.Print_Area" localSheetId="0">'ENCABEZADO'!$A$1:$H$27</definedName>
    <definedName name="_xlnm.Print_Area" localSheetId="1">'TABLERO DE CONTROL'!$A$1:$R$73</definedName>
    <definedName name="_xlnm.Print_Area" localSheetId="2">'CONCLUSIÓN'!$A$1:$H$16</definedName>
    <definedName name="_xlnm.Print_Area" localSheetId="3">'REGISTRO'!$A$1:$J$60</definedName>
    <definedName name="_xlnm.Print_Area" localSheetId="4">'CÁLCULOS'!$A$1:$I$50</definedName>
    <definedName name="_xlnm.Print_Area" localSheetId="5">'REFERENCIAS'!$A$1:$C$13</definedName>
  </definedNames>
  <calcPr calcId="124519" fullCalcOnLoad="1"/>
</workbook>
</file>

<file path=xl/styles.xml><?xml version="1.0" encoding="utf-8"?>
<styleSheet xmlns="http://schemas.openxmlformats.org/spreadsheetml/2006/main">
  <numFmts count="17">
    <numFmt numFmtId="164" formatCode="yyyy-mm-dd"/>
    <numFmt numFmtId="165" formatCode="dd/mm/yyyy"/>
    <numFmt numFmtId="166" formatCode="0.0"/>
    <numFmt numFmtId="167" formatCode="&quot;menos de &quot;0%"/>
    <numFmt numFmtId="168" formatCode="&quot;menos de &quot;0"/>
    <numFmt numFmtId="169" formatCode="&quot;menos de &quot;0.0"/>
    <numFmt numFmtId="170" formatCode="&quot;&lt; &quot;0%&quot; de lo esperado&quot;"/>
    <numFmt numFmtId="171" formatCode="0.0&quot; días&quot;"/>
    <numFmt numFmtId="172" formatCode="0&quot; revisiones&quot;"/>
    <numFmt numFmtId="173" formatCode="&quot;▲ &quot;0.0;&quot;▼ &quot;0.0;&quot;= &quot;0.0"/>
    <numFmt numFmtId="174" formatCode="&quot;Meta: ≥ &quot;0%"/>
    <numFmt numFmtId="175" formatCode="&quot;Meta: ≥ &quot;0.0"/>
    <numFmt numFmtId="176" formatCode="&quot;Esperado a la fecha: &quot;0%"/>
    <numFmt numFmtId="177" formatCode="&quot;≥ &quot;0%"/>
    <numFmt numFmtId="178" formatCode="&quot;≥ &quot;0&quot; días&quot;"/>
    <numFmt numFmtId="179" formatCode="&quot;≥ &quot;0.0"/>
    <numFmt numFmtId="180" formatCode="&quot;esp. &quot;0%"/>
  </numFmts>
  <fonts count="47">
    <font>
      <name val="Calibri"/>
      <family val="2"/>
      <color theme="1"/>
      <sz val="11"/>
      <scheme val="minor"/>
    </font>
    <font>
      <name val="Arial"/>
      <b val="1"/>
      <color rgb="00FFFFFF"/>
      <sz val="16"/>
    </font>
    <font>
      <name val="Arial"/>
      <color rgb="001B2B44"/>
      <sz val="9.5"/>
    </font>
    <font>
      <name val="Arial"/>
      <b val="1"/>
      <color rgb="000B4FA8"/>
      <sz val="9"/>
    </font>
    <font>
      <name val="Arial"/>
      <color rgb="005B6B80"/>
      <sz val="9"/>
    </font>
    <font>
      <name val="Arial"/>
      <b val="1"/>
      <color rgb="000F2342"/>
      <sz val="11"/>
    </font>
    <font>
      <name val="Arial"/>
      <color rgb="001B2B44"/>
      <sz val="10"/>
    </font>
    <font>
      <name val="Arial"/>
      <color rgb="000B4FA8"/>
      <sz val="10"/>
    </font>
    <font>
      <name val="Arial"/>
      <b val="1"/>
      <color rgb="00FFFFFF"/>
      <sz val="9"/>
    </font>
    <font>
      <name val="Arial"/>
      <color rgb="005B6B80"/>
      <sz val="10"/>
    </font>
    <font>
      <name val="Arial"/>
      <b val="1"/>
      <color rgb="001B2B44"/>
      <sz val="10"/>
    </font>
    <font>
      <name val="Arial"/>
      <b val="1"/>
      <color rgb="001B2B44"/>
      <sz val="9"/>
    </font>
    <font>
      <name val="Arial"/>
      <b val="1"/>
      <color rgb="00FFFFFF"/>
      <sz val="13"/>
    </font>
    <font>
      <name val="Arial"/>
      <b val="1"/>
      <color rgb="00FFFFFF"/>
      <sz val="18"/>
    </font>
    <font>
      <name val="Arial"/>
      <color rgb="00C9D6E6"/>
      <sz val="10"/>
    </font>
    <font>
      <name val="Arial"/>
      <b val="1"/>
      <color rgb="00C9D6E6"/>
      <sz val="10"/>
    </font>
    <font>
      <name val="Arial"/>
      <b val="1"/>
      <color rgb="00FFFFFF"/>
      <sz val="10"/>
    </font>
    <font>
      <name val="Arial"/>
      <b val="1"/>
      <color rgb="005B6B80"/>
      <sz val="8.5"/>
    </font>
    <font>
      <name val="Arial"/>
      <b val="1"/>
      <color rgb="001B2B44"/>
      <sz val="26"/>
    </font>
    <font>
      <name val="Arial"/>
      <color rgb="00DCE2EA"/>
      <sz val="30"/>
    </font>
    <font>
      <name val="Arial"/>
      <color rgb="00DCE2EA"/>
      <sz val="10"/>
    </font>
    <font>
      <name val="Arial"/>
      <b val="1"/>
      <color rgb="005B6B80"/>
      <sz val="9"/>
    </font>
    <font>
      <name val="Arial"/>
      <b val="1"/>
      <color rgb="000F2342"/>
      <sz val="10"/>
    </font>
    <font>
      <name val="Arial"/>
      <b val="1"/>
      <color rgb="005B6B80"/>
      <sz val="8"/>
    </font>
    <font>
      <name val="Arial"/>
      <b val="1"/>
      <color rgb="001B2B44"/>
      <sz val="11"/>
    </font>
    <font>
      <name val="Arial"/>
      <color rgb="00DCE2EA"/>
      <sz val="16"/>
    </font>
    <font>
      <name val="Arial"/>
      <b val="1"/>
      <color rgb="001B2B44"/>
      <sz val="9.5"/>
    </font>
    <font>
      <name val="Arial"/>
      <b val="1"/>
      <color rgb="005B6B80"/>
      <sz val="10"/>
    </font>
    <font>
      <name val="Arial"/>
      <color rgb="001B2B44"/>
      <sz val="13"/>
    </font>
    <font>
      <name val="Arial"/>
      <color rgb="001E9E5A"/>
      <sz val="14"/>
    </font>
    <font>
      <name val="Arial"/>
      <color rgb="00F2B705"/>
      <sz val="14"/>
    </font>
    <font>
      <name val="Arial"/>
      <color rgb="00D93F3F"/>
      <sz val="14"/>
    </font>
    <font>
      <name val="Arial"/>
      <i val="1"/>
      <color rgb="005B6B80"/>
      <sz val="8.5"/>
    </font>
    <font>
      <name val="Arial"/>
      <b val="1"/>
      <color rgb="008A99AD"/>
      <sz val="8.5"/>
    </font>
    <font>
      <name val="Arial"/>
      <b val="1"/>
      <color rgb="003CC8B4"/>
      <sz val="11"/>
    </font>
    <font>
      <name val="Arial"/>
      <b val="1"/>
      <color rgb="00FFFFFF"/>
      <sz val="22"/>
    </font>
    <font>
      <name val="Arial"/>
      <color rgb="00C9D6E6"/>
      <sz val="11"/>
    </font>
    <font>
      <name val="Arial"/>
      <b val="1"/>
      <color rgb="000F2342"/>
      <sz val="13"/>
    </font>
    <font>
      <name val="Arial"/>
      <i val="1"/>
      <color rgb="005B6B80"/>
      <sz val="9.5"/>
    </font>
    <font>
      <name val="Arial"/>
      <b val="1"/>
      <color rgb="000F2342"/>
      <sz val="12"/>
    </font>
    <font>
      <name val="Arial"/>
      <b val="1"/>
      <color rgb="00FFFFFF"/>
      <sz val="26"/>
    </font>
    <font>
      <name val="Arial"/>
      <color rgb="001B2B44"/>
      <sz val="11"/>
    </font>
    <font>
      <name val="Arial"/>
      <b val="1"/>
      <color rgb="001FA595"/>
      <sz val="14"/>
    </font>
    <font>
      <name val="Arial"/>
      <b val="1"/>
      <color rgb="00FFFFFF"/>
      <sz val="20"/>
    </font>
    <font>
      <name val="Arial"/>
      <color rgb="001B2B44"/>
      <sz val="10.5"/>
    </font>
    <font>
      <name val="Arial"/>
      <color rgb="002574A9"/>
      <sz val="10"/>
    </font>
    <font>
      <name val="Arial"/>
      <color rgb="002574A9"/>
      <sz val="10"/>
      <u val="single"/>
    </font>
  </fonts>
  <fills count="12">
    <fill>
      <patternFill/>
    </fill>
    <fill>
      <patternFill patternType="gray125"/>
    </fill>
    <fill>
      <patternFill patternType="solid">
        <fgColor rgb="00FFFFFF"/>
        <bgColor rgb="00FFFFFF"/>
      </patternFill>
    </fill>
    <fill>
      <patternFill patternType="solid">
        <fgColor rgb="000F2342"/>
        <bgColor rgb="000F2342"/>
      </patternFill>
    </fill>
    <fill>
      <patternFill patternType="solid">
        <fgColor rgb="00DCEEF7"/>
        <bgColor rgb="00DCEEF7"/>
      </patternFill>
    </fill>
    <fill>
      <patternFill patternType="solid">
        <fgColor rgb="00E8F1FB"/>
        <bgColor rgb="00E8F1FB"/>
      </patternFill>
    </fill>
    <fill>
      <patternFill patternType="solid">
        <fgColor rgb="0017365D"/>
        <bgColor rgb="0017365D"/>
      </patternFill>
    </fill>
    <fill>
      <patternFill patternType="solid">
        <fgColor rgb="00F3F6FA"/>
        <bgColor rgb="00F3F6FA"/>
      </patternFill>
    </fill>
    <fill>
      <patternFill patternType="solid">
        <fgColor rgb="001FA595"/>
        <bgColor rgb="001FA595"/>
      </patternFill>
    </fill>
    <fill>
      <patternFill patternType="solid">
        <fgColor rgb="00E9F4FA"/>
        <bgColor rgb="00E9F4FA"/>
      </patternFill>
    </fill>
    <fill>
      <patternFill patternType="solid">
        <fgColor rgb="00EEF9F7"/>
        <bgColor rgb="00EEF9F7"/>
      </patternFill>
    </fill>
    <fill>
      <patternFill patternType="solid">
        <fgColor rgb="00F7FAFD"/>
        <bgColor rgb="00F7FAFD"/>
      </patternFill>
    </fill>
  </fills>
  <borders count="26">
    <border>
      <left/>
      <right/>
      <top/>
      <bottom/>
      <diagonal/>
    </border>
    <border>
      <left style="thin">
        <color rgb="00D5DEE8"/>
      </left>
      <right style="thin">
        <color rgb="00D5DEE8"/>
      </right>
      <top style="thin">
        <color rgb="00D5DEE8"/>
      </top>
      <bottom style="thin">
        <color rgb="00D5DEE8"/>
      </bottom>
    </border>
    <border>
      <left style="thin">
        <color rgb="00D5DEE8"/>
      </left>
      <right/>
      <top style="thin">
        <color rgb="00D5DEE8"/>
      </top>
      <bottom/>
    </border>
    <border>
      <left/>
      <right/>
      <top style="thin">
        <color rgb="00D5DEE8"/>
      </top>
      <bottom/>
    </border>
    <border>
      <left/>
      <right style="thin">
        <color rgb="00D5DEE8"/>
      </right>
      <top style="thin">
        <color rgb="00D5DEE8"/>
      </top>
      <bottom/>
    </border>
    <border>
      <left style="thin">
        <color rgb="00D5DEE8"/>
      </left>
      <right/>
      <top/>
      <bottom/>
    </border>
    <border>
      <left/>
      <right/>
      <top/>
      <bottom/>
    </border>
    <border>
      <left/>
      <right style="thin">
        <color rgb="00D5DEE8"/>
      </right>
      <top/>
      <bottom/>
    </border>
    <border>
      <left style="thin">
        <color rgb="00D5DEE8"/>
      </left>
      <right/>
      <top/>
      <bottom style="thin">
        <color rgb="00D5DEE8"/>
      </bottom>
    </border>
    <border>
      <left/>
      <right/>
      <top/>
      <bottom style="thin">
        <color rgb="00D5DEE8"/>
      </bottom>
    </border>
    <border>
      <left/>
      <right style="thin">
        <color rgb="00D5DEE8"/>
      </right>
      <top/>
      <bottom style="thin">
        <color rgb="00D5DEE8"/>
      </bottom>
    </border>
    <border>
      <left/>
      <right/>
      <top style="thin">
        <color rgb="00D5DEE8"/>
      </top>
      <bottom/>
      <diagonal/>
    </border>
    <border>
      <left style="thin">
        <color rgb="00D5DEE8"/>
      </left>
      <right/>
      <top/>
      <bottom/>
      <diagonal/>
    </border>
    <border>
      <left/>
      <right/>
      <top/>
      <bottom style="thin">
        <color rgb="00D5DEE8"/>
      </bottom>
      <diagonal/>
    </border>
    <border>
      <left/>
      <right style="thin">
        <color rgb="00D5DEE8"/>
      </right>
      <top style="thin">
        <color rgb="00D5DEE8"/>
      </top>
      <bottom/>
      <diagonal/>
    </border>
    <border>
      <left/>
      <right style="thin">
        <color rgb="00D5DEE8"/>
      </right>
      <top/>
      <bottom/>
      <diagonal/>
    </border>
    <border>
      <left/>
      <right style="thin">
        <color rgb="00D5DEE8"/>
      </right>
      <top/>
      <bottom style="thin">
        <color rgb="00D5DEE8"/>
      </bottom>
      <diagonal/>
    </border>
    <border>
      <left style="medium">
        <color rgb="001FA595"/>
      </left>
      <right style="thin">
        <color rgb="00D5DEE8"/>
      </right>
      <top style="medium">
        <color rgb="001FA595"/>
      </top>
      <bottom style="thin">
        <color rgb="00D5DEE8"/>
      </bottom>
    </border>
    <border>
      <left style="thin">
        <color rgb="00D5DEE8"/>
      </left>
      <right style="medium">
        <color rgb="001FA595"/>
      </right>
      <top style="medium">
        <color rgb="001FA595"/>
      </top>
      <bottom style="thin">
        <color rgb="00D5DEE8"/>
      </bottom>
    </border>
    <border>
      <left style="medium">
        <color rgb="001FA595"/>
      </left>
      <right style="thin">
        <color rgb="00D5DEE8"/>
      </right>
      <top style="thin">
        <color rgb="00D5DEE8"/>
      </top>
      <bottom style="thin">
        <color rgb="00D5DEE8"/>
      </bottom>
    </border>
    <border>
      <left style="thin">
        <color rgb="00D5DEE8"/>
      </left>
      <right style="medium">
        <color rgb="001FA595"/>
      </right>
      <top style="thin">
        <color rgb="00D5DEE8"/>
      </top>
      <bottom style="thin">
        <color rgb="00D5DEE8"/>
      </bottom>
    </border>
    <border>
      <left style="medium">
        <color rgb="001FA595"/>
      </left>
      <right style="thin">
        <color rgb="00D5DEE8"/>
      </right>
      <top style="thin">
        <color rgb="00D5DEE8"/>
      </top>
      <bottom style="medium">
        <color rgb="001FA595"/>
      </bottom>
    </border>
    <border>
      <left style="thin">
        <color rgb="00D5DEE8"/>
      </left>
      <right style="medium">
        <color rgb="001FA595"/>
      </right>
      <top style="thin">
        <color rgb="00D5DEE8"/>
      </top>
      <bottom style="medium">
        <color rgb="001FA595"/>
      </bottom>
    </border>
    <border>
      <left style="thin">
        <color rgb="00D5DEE8"/>
      </left>
      <right style="thin">
        <color rgb="00D5DEE8"/>
      </right>
      <top style="thin">
        <color rgb="00D5DEE8"/>
      </top>
      <bottom style="thin">
        <color rgb="009FB3C8"/>
      </bottom>
    </border>
    <border>
      <left style="medium">
        <color rgb="001FA595"/>
      </left>
      <right style="thin">
        <color rgb="00D5DEE8"/>
      </right>
      <top style="thin">
        <color rgb="00D5DEE8"/>
      </top>
      <bottom style="thin">
        <color rgb="009FB3C8"/>
      </bottom>
    </border>
    <border>
      <left style="thin">
        <color rgb="00D5DEE8"/>
      </left>
      <right style="medium">
        <color rgb="001FA595"/>
      </right>
      <top style="thin">
        <color rgb="00D5DEE8"/>
      </top>
      <bottom style="thin">
        <color rgb="009FB3C8"/>
      </bottom>
    </border>
  </borders>
  <cellStyleXfs count="1">
    <xf numFmtId="0" fontId="0" fillId="0" borderId="0"/>
  </cellStyleXfs>
  <cellXfs count="180">
    <xf numFmtId="0" fontId="0" fillId="0" borderId="0" pivotButton="0" quotePrefix="0" xfId="0"/>
    <xf numFmtId="0" fontId="0" fillId="7" borderId="0" pivotButton="0" quotePrefix="0" xfId="0"/>
    <xf numFmtId="0" fontId="0" fillId="3" borderId="0" pivotButton="0" quotePrefix="0" xfId="0"/>
    <xf numFmtId="0" fontId="33" fillId="2" borderId="0" applyAlignment="1" pivotButton="0" quotePrefix="0" xfId="0">
      <alignment horizontal="center" vertical="center" wrapText="1"/>
    </xf>
    <xf numFmtId="0" fontId="0" fillId="2" borderId="0" pivotButton="0" quotePrefix="0" xfId="0"/>
    <xf numFmtId="0" fontId="34" fillId="3" borderId="0" applyAlignment="1" pivotButton="0" quotePrefix="0" xfId="0">
      <alignment horizontal="left" vertical="center" indent="1"/>
    </xf>
    <xf numFmtId="0" fontId="35" fillId="3" borderId="0" applyAlignment="1" pivotButton="0" quotePrefix="0" xfId="0">
      <alignment horizontal="left" vertical="center" indent="1"/>
    </xf>
    <xf numFmtId="0" fontId="36" fillId="3" borderId="0" applyAlignment="1" pivotButton="0" quotePrefix="0" xfId="0">
      <alignment horizontal="left" vertical="center" indent="1"/>
    </xf>
    <xf numFmtId="0" fontId="22" fillId="2" borderId="2" applyAlignment="1" pivotButton="0" quotePrefix="0" xfId="0">
      <alignment horizontal="left" vertical="center" indent="1"/>
    </xf>
    <xf numFmtId="0" fontId="6" fillId="2" borderId="3" applyAlignment="1" pivotButton="0" quotePrefix="0" xfId="0">
      <alignment horizontal="left" vertical="center"/>
    </xf>
    <xf numFmtId="0" fontId="0" fillId="0" borderId="3" pivotButton="0" quotePrefix="0" xfId="0"/>
    <xf numFmtId="0" fontId="22" fillId="2" borderId="3" applyAlignment="1" pivotButton="0" quotePrefix="0" xfId="0">
      <alignment horizontal="right" vertical="center" indent="1"/>
    </xf>
    <xf numFmtId="0" fontId="7" fillId="5" borderId="3" applyAlignment="1" pivotButton="0" quotePrefix="0" xfId="0">
      <alignment horizontal="left" vertical="center" indent="1"/>
    </xf>
    <xf numFmtId="0" fontId="0" fillId="5" borderId="4" pivotButton="0" quotePrefix="0" xfId="0"/>
    <xf numFmtId="0" fontId="22" fillId="2" borderId="5" applyAlignment="1" pivotButton="0" quotePrefix="0" xfId="0">
      <alignment horizontal="left" vertical="center" indent="1"/>
    </xf>
    <xf numFmtId="0" fontId="6" fillId="2" borderId="6" applyAlignment="1" pivotButton="0" quotePrefix="0" xfId="0">
      <alignment horizontal="left" vertical="center"/>
    </xf>
    <xf numFmtId="0" fontId="0" fillId="0" borderId="6" pivotButton="0" quotePrefix="0" xfId="0"/>
    <xf numFmtId="0" fontId="22" fillId="2" borderId="6" applyAlignment="1" pivotButton="0" quotePrefix="0" xfId="0">
      <alignment horizontal="right" vertical="center" indent="1"/>
    </xf>
    <xf numFmtId="0" fontId="7" fillId="5" borderId="6" applyAlignment="1" pivotButton="0" quotePrefix="0" xfId="0">
      <alignment horizontal="left" vertical="center" indent="1"/>
    </xf>
    <xf numFmtId="0" fontId="0" fillId="5" borderId="7" pivotButton="0" quotePrefix="0" xfId="0"/>
    <xf numFmtId="0" fontId="22" fillId="2" borderId="8" applyAlignment="1" pivotButton="0" quotePrefix="0" xfId="0">
      <alignment horizontal="left" vertical="center" indent="1"/>
    </xf>
    <xf numFmtId="0" fontId="6" fillId="2" borderId="9" applyAlignment="1" pivotButton="0" quotePrefix="0" xfId="0">
      <alignment horizontal="left" vertical="center"/>
    </xf>
    <xf numFmtId="0" fontId="0" fillId="0" borderId="9" pivotButton="0" quotePrefix="0" xfId="0"/>
    <xf numFmtId="0" fontId="22" fillId="2" borderId="9" applyAlignment="1" pivotButton="0" quotePrefix="0" xfId="0">
      <alignment horizontal="right" vertical="center" indent="1"/>
    </xf>
    <xf numFmtId="165" fontId="7" fillId="5" borderId="9" applyAlignment="1" pivotButton="0" quotePrefix="0" xfId="0">
      <alignment horizontal="left" vertical="center" indent="1"/>
    </xf>
    <xf numFmtId="0" fontId="0" fillId="5" borderId="10" pivotButton="0" quotePrefix="0" xfId="0"/>
    <xf numFmtId="0" fontId="37" fillId="7" borderId="0" applyAlignment="1" pivotButton="0" quotePrefix="0" xfId="0">
      <alignment horizontal="left" vertical="center"/>
    </xf>
    <xf numFmtId="0" fontId="38" fillId="7" borderId="0" applyAlignment="1" pivotButton="0" quotePrefix="0" xfId="0">
      <alignment horizontal="left" vertical="center"/>
    </xf>
    <xf numFmtId="0" fontId="16" fillId="3" borderId="1" applyAlignment="1" pivotButton="0" quotePrefix="0" xfId="0">
      <alignment horizontal="center" vertical="center" wrapText="1"/>
    </xf>
    <xf numFmtId="0" fontId="16" fillId="8" borderId="17" applyAlignment="1" pivotButton="0" quotePrefix="0" xfId="0">
      <alignment horizontal="center" vertical="center" wrapText="1"/>
    </xf>
    <xf numFmtId="0" fontId="16" fillId="8" borderId="18" applyAlignment="1" pivotButton="0" quotePrefix="0" xfId="0">
      <alignment horizontal="center" vertical="center" wrapText="1"/>
    </xf>
    <xf numFmtId="0" fontId="39"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2" borderId="1" applyAlignment="1" pivotButton="0" quotePrefix="0" xfId="0">
      <alignment horizontal="left" vertical="center" wrapText="1" indent="1"/>
    </xf>
    <xf numFmtId="0" fontId="2" fillId="2" borderId="1" applyAlignment="1" pivotButton="0" quotePrefix="0" xfId="0">
      <alignment horizontal="left" vertical="center" wrapText="1" indent="1"/>
    </xf>
    <xf numFmtId="0" fontId="0" fillId="10" borderId="19" applyAlignment="1" pivotButton="0" quotePrefix="0" xfId="0">
      <alignment horizontal="left" vertical="center" wrapText="1" indent="1"/>
    </xf>
    <xf numFmtId="0" fontId="0" fillId="10" borderId="20" applyAlignment="1" pivotButton="0" quotePrefix="0" xfId="0">
      <alignment horizontal="left" vertical="center" wrapText="1" indent="1"/>
    </xf>
    <xf numFmtId="0" fontId="0" fillId="4" borderId="1" pivotButton="0" quotePrefix="0" xfId="0"/>
    <xf numFmtId="0" fontId="0" fillId="9" borderId="1" pivotButton="0" quotePrefix="0" xfId="0"/>
    <xf numFmtId="0" fontId="0" fillId="2" borderId="1" pivotButton="0" quotePrefix="0" xfId="0"/>
    <xf numFmtId="0" fontId="0" fillId="10" borderId="19" pivotButton="0" quotePrefix="0" xfId="0"/>
    <xf numFmtId="0" fontId="0" fillId="10" borderId="20" pivotButton="0" quotePrefix="0" xfId="0"/>
    <xf numFmtId="0" fontId="0" fillId="2" borderId="23" pivotButton="0" quotePrefix="0" xfId="0"/>
    <xf numFmtId="0" fontId="2" fillId="2" borderId="23" applyAlignment="1" pivotButton="0" quotePrefix="0" xfId="0">
      <alignment horizontal="left" vertical="center" wrapText="1" indent="1"/>
    </xf>
    <xf numFmtId="0" fontId="0" fillId="10" borderId="24" pivotButton="0" quotePrefix="0" xfId="0"/>
    <xf numFmtId="0" fontId="0" fillId="10" borderId="25" pivotButton="0" quotePrefix="0" xfId="0"/>
    <xf numFmtId="0" fontId="0" fillId="11" borderId="1" applyAlignment="1" pivotButton="0" quotePrefix="0" xfId="0">
      <alignment horizontal="left" vertical="center" wrapText="1" indent="1"/>
    </xf>
    <xf numFmtId="0" fontId="2" fillId="11" borderId="1" applyAlignment="1" pivotButton="0" quotePrefix="0" xfId="0">
      <alignment horizontal="left" vertical="center" wrapText="1" indent="1"/>
    </xf>
    <xf numFmtId="0" fontId="0" fillId="11" borderId="1" pivotButton="0" quotePrefix="0" xfId="0"/>
    <xf numFmtId="0" fontId="0" fillId="11" borderId="23" pivotButton="0" quotePrefix="0" xfId="0"/>
    <xf numFmtId="0" fontId="2" fillId="11" borderId="23" applyAlignment="1" pivotButton="0" quotePrefix="0" xfId="0">
      <alignment horizontal="left" vertical="center" wrapText="1" indent="1"/>
    </xf>
    <xf numFmtId="0" fontId="0" fillId="10" borderId="21" pivotButton="0" quotePrefix="0" xfId="0"/>
    <xf numFmtId="0" fontId="0" fillId="10" borderId="22" pivotButton="0" quotePrefix="0" xfId="0"/>
    <xf numFmtId="0" fontId="0" fillId="2" borderId="2" applyAlignment="1" pivotButton="0" quotePrefix="0" xfId="0">
      <alignment horizontal="left" vertical="center" wrapText="1" indent="1"/>
    </xf>
    <xf numFmtId="0" fontId="0" fillId="2" borderId="3" pivotButton="0" quotePrefix="0" xfId="0"/>
    <xf numFmtId="0" fontId="0" fillId="2" borderId="4" pivotButton="0" quotePrefix="0" xfId="0"/>
    <xf numFmtId="0" fontId="0" fillId="2" borderId="8" pivotButton="0" quotePrefix="0" xfId="0"/>
    <xf numFmtId="0" fontId="0" fillId="2" borderId="9" pivotButton="0" quotePrefix="0" xfId="0"/>
    <xf numFmtId="0" fontId="0" fillId="2" borderId="10" pivotButton="0" quotePrefix="0" xfId="0"/>
    <xf numFmtId="0" fontId="13" fillId="3" borderId="0" applyAlignment="1" pivotButton="0" quotePrefix="0" xfId="0">
      <alignment horizontal="left" vertical="center" indent="1"/>
    </xf>
    <xf numFmtId="0" fontId="14" fillId="6" borderId="0" applyAlignment="1" pivotButton="0" quotePrefix="0" xfId="0">
      <alignment horizontal="left" vertical="center" indent="1"/>
    </xf>
    <xf numFmtId="0" fontId="0" fillId="6" borderId="0" pivotButton="0" quotePrefix="0" xfId="0"/>
    <xf numFmtId="0" fontId="15" fillId="6" borderId="0" applyAlignment="1" pivotButton="0" quotePrefix="0" xfId="0">
      <alignment horizontal="right" vertical="center"/>
    </xf>
    <xf numFmtId="165" fontId="16" fillId="6" borderId="0" applyAlignment="1" pivotButton="0" quotePrefix="0" xfId="0">
      <alignment horizontal="left" vertical="center"/>
    </xf>
    <xf numFmtId="0" fontId="14" fillId="6" borderId="0" applyAlignment="1" pivotButton="0" quotePrefix="0" xfId="0">
      <alignment horizontal="right" vertical="center" indent="1"/>
    </xf>
    <xf numFmtId="0" fontId="5" fillId="7" borderId="0" applyAlignment="1" pivotButton="0" quotePrefix="0" xfId="0">
      <alignment horizontal="left" vertical="center"/>
    </xf>
    <xf numFmtId="0" fontId="17" fillId="2" borderId="2" applyAlignment="1" pivotButton="0" quotePrefix="0" xfId="0">
      <alignment horizontal="left" vertical="center" indent="1"/>
    </xf>
    <xf numFmtId="0" fontId="0" fillId="0" borderId="4" pivotButton="0" quotePrefix="0" xfId="0"/>
    <xf numFmtId="9" fontId="18" fillId="2" borderId="5" applyAlignment="1" pivotButton="0" quotePrefix="0" xfId="0">
      <alignment horizontal="left" vertical="center" indent="1"/>
    </xf>
    <xf numFmtId="0" fontId="19" fillId="2" borderId="7" applyAlignment="1" pivotButton="0" quotePrefix="0" xfId="0">
      <alignment horizontal="center" vertical="center"/>
    </xf>
    <xf numFmtId="166" fontId="18" fillId="2" borderId="5" applyAlignment="1" pivotButton="0" quotePrefix="0" xfId="0">
      <alignment horizontal="left" vertical="center" indent="1"/>
    </xf>
    <xf numFmtId="0" fontId="0" fillId="0" borderId="5" pivotButton="0" quotePrefix="0" xfId="0"/>
    <xf numFmtId="0" fontId="0" fillId="0" borderId="7" pivotButton="0" quotePrefix="0" xfId="0"/>
    <xf numFmtId="174" fontId="4" fillId="2" borderId="5" applyAlignment="1" pivotButton="0" quotePrefix="0" xfId="0">
      <alignment horizontal="left" vertical="center" indent="1"/>
    </xf>
    <xf numFmtId="175" fontId="4" fillId="2" borderId="5" applyAlignment="1" pivotButton="0" quotePrefix="0" xfId="0">
      <alignment horizontal="left" vertical="center" indent="1"/>
    </xf>
    <xf numFmtId="176" fontId="4" fillId="2" borderId="5" applyAlignment="1" pivotButton="0" quotePrefix="0" xfId="0">
      <alignment horizontal="left" vertical="center" indent="1"/>
    </xf>
    <xf numFmtId="0" fontId="20" fillId="2" borderId="5" applyAlignment="1" pivotButton="0" quotePrefix="0" xfId="0">
      <alignment horizontal="left" vertical="center" indent="1"/>
    </xf>
    <xf numFmtId="0" fontId="21" fillId="2" borderId="8" applyAlignment="1" pivotButton="0" quotePrefix="0" xfId="0">
      <alignment horizontal="center" vertical="center"/>
    </xf>
    <xf numFmtId="0" fontId="0" fillId="0" borderId="10" pivotButton="0" quotePrefix="0" xfId="0"/>
    <xf numFmtId="0" fontId="22" fillId="7" borderId="0" applyAlignment="1" pivotButton="0" quotePrefix="0" xfId="0">
      <alignment horizontal="left" vertical="center"/>
    </xf>
    <xf numFmtId="0" fontId="23" fillId="2" borderId="2" applyAlignment="1" pivotButton="0" quotePrefix="0" xfId="0">
      <alignment horizontal="center" vertical="bottom" wrapText="1"/>
    </xf>
    <xf numFmtId="0" fontId="0" fillId="0" borderId="11" pivotButton="0" quotePrefix="0" xfId="0"/>
    <xf numFmtId="0" fontId="23" fillId="2" borderId="3" applyAlignment="1" pivotButton="0" quotePrefix="0" xfId="0">
      <alignment horizontal="center" vertical="bottom" wrapText="1"/>
    </xf>
    <xf numFmtId="0" fontId="23" fillId="2" borderId="4" applyAlignment="1" pivotButton="0" quotePrefix="0" xfId="0">
      <alignment horizontal="center" vertical="bottom" wrapText="1"/>
    </xf>
    <xf numFmtId="0" fontId="0" fillId="0" borderId="14" pivotButton="0" quotePrefix="0" xfId="0"/>
    <xf numFmtId="0" fontId="0" fillId="0" borderId="12" pivotButton="0" quotePrefix="0" xfId="0"/>
    <xf numFmtId="0" fontId="0" fillId="0" borderId="15" pivotButton="0" quotePrefix="0" xfId="0"/>
    <xf numFmtId="0" fontId="24" fillId="2" borderId="8" applyAlignment="1" pivotButton="0" quotePrefix="0" xfId="0">
      <alignment horizontal="center" vertical="center"/>
    </xf>
    <xf numFmtId="0" fontId="0" fillId="0" borderId="13" pivotButton="0" quotePrefix="0" xfId="0"/>
    <xf numFmtId="0" fontId="24" fillId="2" borderId="9" applyAlignment="1" pivotButton="0" quotePrefix="0" xfId="0">
      <alignment horizontal="center" vertical="center"/>
    </xf>
    <xf numFmtId="0" fontId="24" fillId="2" borderId="10" applyAlignment="1" pivotButton="0" quotePrefix="0" xfId="0">
      <alignment horizontal="center" vertical="center"/>
    </xf>
    <xf numFmtId="0" fontId="0" fillId="0" borderId="16" pivotButton="0" quotePrefix="0" xfId="0"/>
    <xf numFmtId="0" fontId="8" fillId="6" borderId="1" applyAlignment="1" pivotButton="0" quotePrefix="0" xfId="0">
      <alignment horizontal="center" vertical="center" wrapText="1"/>
    </xf>
    <xf numFmtId="0" fontId="0" fillId="6" borderId="1" pivotButton="0" quotePrefix="0" xfId="0"/>
    <xf numFmtId="0" fontId="10" fillId="2" borderId="1" applyAlignment="1" pivotButton="0" quotePrefix="0" xfId="0">
      <alignment horizontal="left" vertical="center" indent="1"/>
    </xf>
    <xf numFmtId="0" fontId="0" fillId="0" borderId="1" pivotButton="0" quotePrefix="0" xfId="0"/>
    <xf numFmtId="0" fontId="9" fillId="2" borderId="1" applyAlignment="1" pivotButton="0" quotePrefix="0" xfId="0">
      <alignment horizontal="center" vertical="center" wrapText="1"/>
    </xf>
    <xf numFmtId="9" fontId="10" fillId="2" borderId="1" applyAlignment="1" pivotButton="0" quotePrefix="0" xfId="0">
      <alignment horizontal="center" vertical="center" wrapText="1"/>
    </xf>
    <xf numFmtId="177" fontId="4" fillId="2" borderId="1" applyAlignment="1" pivotButton="0" quotePrefix="0" xfId="0">
      <alignment horizontal="center" vertical="center" wrapText="1"/>
    </xf>
    <xf numFmtId="0" fontId="25" fillId="2" borderId="1" applyAlignment="1" pivotButton="0" quotePrefix="0" xfId="0">
      <alignment horizontal="center" vertical="center"/>
    </xf>
    <xf numFmtId="9" fontId="11" fillId="2" borderId="1" applyAlignment="1" pivotButton="0" quotePrefix="0" xfId="0">
      <alignment horizontal="left" vertical="center"/>
    </xf>
    <xf numFmtId="0" fontId="21" fillId="2" borderId="1" applyAlignment="1" pivotButton="0" quotePrefix="0" xfId="0">
      <alignment horizontal="center" vertical="center"/>
    </xf>
    <xf numFmtId="171" fontId="10" fillId="2" borderId="1" applyAlignment="1" pivotButton="0" quotePrefix="0" xfId="0">
      <alignment horizontal="center" vertical="center" wrapText="1"/>
    </xf>
    <xf numFmtId="178" fontId="4" fillId="2" borderId="1" applyAlignment="1" pivotButton="0" quotePrefix="0" xfId="0">
      <alignment horizontal="center" vertical="center" wrapText="1"/>
    </xf>
    <xf numFmtId="166" fontId="10" fillId="2" borderId="1" applyAlignment="1" pivotButton="0" quotePrefix="0" xfId="0">
      <alignment horizontal="center" vertical="center" wrapText="1"/>
    </xf>
    <xf numFmtId="179" fontId="4" fillId="2" borderId="1" applyAlignment="1" pivotButton="0" quotePrefix="0" xfId="0">
      <alignment horizontal="center" vertical="center" wrapText="1"/>
    </xf>
    <xf numFmtId="180" fontId="4" fillId="2" borderId="1" applyAlignment="1" pivotButton="0" quotePrefix="0" xfId="0">
      <alignment horizontal="center" vertical="center" wrapText="1"/>
    </xf>
    <xf numFmtId="0" fontId="26" fillId="2" borderId="1" applyAlignment="1" pivotButton="0" quotePrefix="0" xfId="0">
      <alignment horizontal="left" vertical="center" wrapText="1" indent="1"/>
    </xf>
    <xf numFmtId="166" fontId="6" fillId="2" borderId="1" applyAlignment="1" pivotButton="0" quotePrefix="0" xfId="0">
      <alignment horizontal="center" vertical="center" wrapText="1"/>
    </xf>
    <xf numFmtId="173" fontId="27" fillId="2" borderId="1" applyAlignment="1" pivotButton="0" quotePrefix="0" xfId="0">
      <alignment horizontal="center" vertical="center" wrapText="1"/>
    </xf>
    <xf numFmtId="0" fontId="28" fillId="2" borderId="1" applyAlignment="1" pivotButton="0" quotePrefix="0" xfId="0">
      <alignment horizontal="center" vertical="center" wrapText="1"/>
    </xf>
    <xf numFmtId="0" fontId="17" fillId="2" borderId="1" applyAlignment="1" pivotButton="0" quotePrefix="0" xfId="0">
      <alignment horizontal="center" vertical="center"/>
    </xf>
    <xf numFmtId="0" fontId="26" fillId="4" borderId="1" applyAlignment="1" pivotButton="0" quotePrefix="0" xfId="0">
      <alignment horizontal="left" vertical="center" wrapText="1" indent="1"/>
    </xf>
    <xf numFmtId="166" fontId="10" fillId="4" borderId="1" applyAlignment="1" pivotButton="0" quotePrefix="0" xfId="0">
      <alignment horizontal="center" vertical="center" wrapText="1"/>
    </xf>
    <xf numFmtId="173" fontId="27" fillId="4" borderId="1" applyAlignment="1" pivotButton="0" quotePrefix="0" xfId="0">
      <alignment horizontal="center" vertical="center" wrapText="1"/>
    </xf>
    <xf numFmtId="9" fontId="11" fillId="4" borderId="1" applyAlignment="1" pivotButton="0" quotePrefix="0" xfId="0">
      <alignment horizontal="left" vertical="center"/>
    </xf>
    <xf numFmtId="0" fontId="28" fillId="4" borderId="1" applyAlignment="1" pivotButton="0" quotePrefix="0" xfId="0">
      <alignment horizontal="center" vertical="center" wrapText="1"/>
    </xf>
    <xf numFmtId="0" fontId="17" fillId="4" borderId="1" applyAlignment="1" pivotButton="0" quotePrefix="0" xfId="0">
      <alignment horizontal="center" vertical="center"/>
    </xf>
    <xf numFmtId="0" fontId="29" fillId="2" borderId="2" applyAlignment="1" pivotButton="0" quotePrefix="0" xfId="0">
      <alignment horizontal="center" vertical="center"/>
    </xf>
    <xf numFmtId="0" fontId="2" fillId="2" borderId="3" applyAlignment="1" pivotButton="0" quotePrefix="0" xfId="0">
      <alignment horizontal="left" vertical="center"/>
    </xf>
    <xf numFmtId="0" fontId="30" fillId="2" borderId="5" applyAlignment="1" pivotButton="0" quotePrefix="0" xfId="0">
      <alignment horizontal="center" vertical="center"/>
    </xf>
    <xf numFmtId="0" fontId="2" fillId="2" borderId="6" applyAlignment="1" pivotButton="0" quotePrefix="0" xfId="0">
      <alignment horizontal="left" vertical="center"/>
    </xf>
    <xf numFmtId="0" fontId="31" fillId="2" borderId="8" applyAlignment="1" pivotButton="0" quotePrefix="0" xfId="0">
      <alignment horizontal="center" vertical="center"/>
    </xf>
    <xf numFmtId="0" fontId="2" fillId="2" borderId="9" applyAlignment="1" pivotButton="0" quotePrefix="0" xfId="0">
      <alignment horizontal="left" vertical="center"/>
    </xf>
    <xf numFmtId="0" fontId="32" fillId="7" borderId="0" applyAlignment="1" pivotButton="0" quotePrefix="0" xfId="0">
      <alignment horizontal="left" vertical="center" wrapText="1"/>
    </xf>
    <xf numFmtId="0" fontId="40" fillId="3" borderId="0" applyAlignment="1" pivotButton="0" quotePrefix="0" xfId="0">
      <alignment horizontal="left" vertical="center" indent="1"/>
    </xf>
    <xf numFmtId="0" fontId="36" fillId="6" borderId="0" applyAlignment="1" pivotButton="0" quotePrefix="0" xfId="0">
      <alignment horizontal="left" vertical="center" indent="1"/>
    </xf>
    <xf numFmtId="0" fontId="41" fillId="2" borderId="2" applyAlignment="1" pivotButton="0" quotePrefix="0" xfId="0">
      <alignment horizontal="left" vertical="top" wrapText="1" indent="1"/>
    </xf>
    <xf numFmtId="0" fontId="0" fillId="7" borderId="5" pivotButton="0" quotePrefix="0" xfId="0"/>
    <xf numFmtId="0" fontId="0" fillId="7" borderId="6" pivotButton="0" quotePrefix="0" xfId="0"/>
    <xf numFmtId="0" fontId="0" fillId="7" borderId="7" pivotButton="0" quotePrefix="0" xfId="0"/>
    <xf numFmtId="0" fontId="41" fillId="2" borderId="5" applyAlignment="1" pivotButton="0" quotePrefix="0" xfId="0">
      <alignment horizontal="left" vertical="top" wrapText="1" indent="1"/>
    </xf>
    <xf numFmtId="0" fontId="0" fillId="2" borderId="6" pivotButton="0" quotePrefix="0" xfId="0"/>
    <xf numFmtId="0" fontId="0" fillId="2" borderId="7" pivotButton="0" quotePrefix="0" xfId="0"/>
    <xf numFmtId="0" fontId="42" fillId="2" borderId="8" applyAlignment="1" pivotButton="0" quotePrefix="0" xfId="0">
      <alignment horizontal="center" vertical="center" wrapText="1"/>
    </xf>
    <xf numFmtId="0" fontId="22" fillId="7" borderId="0" applyAlignment="1" pivotButton="0" quotePrefix="0" xfId="0">
      <alignment horizontal="right" vertical="center"/>
    </xf>
    <xf numFmtId="0" fontId="1" fillId="3" borderId="0" applyAlignment="1" pivotButton="0" quotePrefix="0" xfId="0">
      <alignment horizontal="left" vertical="center" indent="1"/>
    </xf>
    <xf numFmtId="0" fontId="2" fillId="4" borderId="0" applyAlignment="1" pivotButton="0" quotePrefix="0" xfId="0">
      <alignment horizontal="left" vertical="center" wrapText="1" indent="1"/>
    </xf>
    <xf numFmtId="0" fontId="0" fillId="4" borderId="0" pivotButton="0" quotePrefix="0" xfId="0"/>
    <xf numFmtId="0" fontId="3" fillId="5" borderId="1" applyAlignment="1" pivotButton="0" quotePrefix="0" xfId="0">
      <alignment horizontal="center" vertical="center" wrapText="1"/>
    </xf>
    <xf numFmtId="0" fontId="4" fillId="2" borderId="0" applyAlignment="1" pivotButton="0" quotePrefix="0" xfId="0">
      <alignment horizontal="left" vertical="center"/>
    </xf>
    <xf numFmtId="0" fontId="5" fillId="2" borderId="0" applyAlignment="1" pivotButton="0" quotePrefix="0" xfId="0">
      <alignment horizontal="left" vertical="center"/>
    </xf>
    <xf numFmtId="0" fontId="6" fillId="2" borderId="1" applyAlignment="1" pivotButton="0" quotePrefix="0" xfId="0">
      <alignment horizontal="left" vertical="center" wrapText="1"/>
    </xf>
    <xf numFmtId="165" fontId="7" fillId="5" borderId="1" applyAlignment="1" pivotButton="0" quotePrefix="0" xfId="0">
      <alignment horizontal="center" vertical="center" wrapText="1"/>
    </xf>
    <xf numFmtId="1" fontId="7" fillId="5" borderId="1" applyAlignment="1" pivotButton="0" quotePrefix="0" xfId="0">
      <alignment horizontal="center" vertical="center" wrapText="1"/>
    </xf>
    <xf numFmtId="9" fontId="6" fillId="2" borderId="1" applyAlignment="1" pivotButton="0" quotePrefix="0" xfId="0">
      <alignment horizontal="center" vertical="center" wrapText="1"/>
    </xf>
    <xf numFmtId="9" fontId="7" fillId="5" borderId="1" applyAlignment="1" pivotButton="0" quotePrefix="0" xfId="0">
      <alignment horizontal="center" vertical="center" wrapText="1"/>
    </xf>
    <xf numFmtId="167" fontId="6" fillId="2" borderId="1" applyAlignment="1" pivotButton="0" quotePrefix="0" xfId="0">
      <alignment horizontal="center" vertical="center" wrapText="1"/>
    </xf>
    <xf numFmtId="168" fontId="6" fillId="2" borderId="1" applyAlignment="1" pivotButton="0" quotePrefix="0" xfId="0">
      <alignment horizontal="center" vertical="center" wrapText="1"/>
    </xf>
    <xf numFmtId="166" fontId="7" fillId="5" borderId="1" applyAlignment="1" pivotButton="0" quotePrefix="0" xfId="0">
      <alignment horizontal="center" vertical="center" wrapText="1"/>
    </xf>
    <xf numFmtId="169" fontId="6" fillId="2" borderId="1" applyAlignment="1" pivotButton="0" quotePrefix="0" xfId="0">
      <alignment horizontal="center" vertical="center" wrapText="1"/>
    </xf>
    <xf numFmtId="170" fontId="6" fillId="2" borderId="1" applyAlignment="1" pivotButton="0" quotePrefix="0" xfId="0">
      <alignment horizontal="center" vertical="center" wrapText="1"/>
    </xf>
    <xf numFmtId="0" fontId="6" fillId="2" borderId="1" applyAlignment="1" pivotButton="0" quotePrefix="0" xfId="0">
      <alignment horizontal="left" vertical="center" wrapText="1" indent="1"/>
    </xf>
    <xf numFmtId="165" fontId="9"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2" borderId="1" applyAlignment="1" pivotButton="0" quotePrefix="0" xfId="0">
      <alignment horizontal="center" vertical="center" wrapText="1"/>
    </xf>
    <xf numFmtId="0" fontId="10" fillId="4" borderId="1" applyAlignment="1" pivotButton="0" quotePrefix="0" xfId="0">
      <alignment horizontal="left" vertical="center" wrapText="1" indent="1"/>
    </xf>
    <xf numFmtId="0" fontId="10" fillId="4" borderId="1" applyAlignment="1" pivotButton="0" quotePrefix="0" xfId="0">
      <alignment horizontal="center" vertical="center" wrapText="1"/>
    </xf>
    <xf numFmtId="171" fontId="10" fillId="4" borderId="1" applyAlignment="1" pivotButton="0" quotePrefix="0" xfId="0">
      <alignment horizontal="center" vertical="center" wrapText="1"/>
    </xf>
    <xf numFmtId="172" fontId="10" fillId="4" borderId="1" applyAlignment="1" pivotButton="0" quotePrefix="0" xfId="0">
      <alignment horizontal="center" vertical="center" wrapText="1"/>
    </xf>
    <xf numFmtId="9" fontId="10"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7" fillId="5" borderId="1" applyAlignment="1" pivotButton="0" quotePrefix="0" xfId="0">
      <alignment horizontal="left" vertical="center" wrapText="1" indent="1"/>
    </xf>
    <xf numFmtId="173" fontId="6" fillId="2" borderId="1" applyAlignment="1" pivotButton="0" quotePrefix="0" xfId="0">
      <alignment horizontal="center" vertical="center" wrapText="1"/>
    </xf>
    <xf numFmtId="173" fontId="10"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3" borderId="0" applyAlignment="1" pivotButton="0" quotePrefix="0" xfId="0">
      <alignment horizontal="left" vertical="center" indent="1"/>
    </xf>
    <xf numFmtId="0" fontId="4" fillId="0" borderId="0" applyAlignment="1" pivotButton="0" quotePrefix="0" xfId="0">
      <alignment horizontal="left" vertical="center" wrapText="1"/>
    </xf>
    <xf numFmtId="0" fontId="6" fillId="0" borderId="1" applyAlignment="1" pivotButton="0" quotePrefix="0" xfId="0">
      <alignment horizontal="left" vertical="center" wrapText="1" indent="1"/>
    </xf>
    <xf numFmtId="0" fontId="6" fillId="0" borderId="1" applyAlignment="1" pivotButton="0" quotePrefix="0" xfId="0">
      <alignment horizontal="center" vertical="center" wrapText="1"/>
    </xf>
    <xf numFmtId="9" fontId="10" fillId="0" borderId="1" applyAlignment="1" pivotButton="0" quotePrefix="0" xfId="0">
      <alignment horizontal="center" vertical="center" wrapText="1"/>
    </xf>
    <xf numFmtId="9"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0" borderId="1" applyAlignment="1" pivotButton="0" quotePrefix="0" xfId="0">
      <alignment horizontal="left" vertical="center" wrapText="1"/>
    </xf>
    <xf numFmtId="166" fontId="10"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43" fillId="3" borderId="0" applyAlignment="1" pivotButton="0" quotePrefix="0" xfId="0">
      <alignment horizontal="left" vertical="center" indent="1"/>
    </xf>
    <xf numFmtId="0" fontId="44" fillId="2" borderId="1" applyAlignment="1" pivotButton="0" quotePrefix="0" xfId="0">
      <alignment horizontal="left" vertical="center" wrapText="1" indent="1"/>
    </xf>
    <xf numFmtId="0" fontId="5" fillId="7" borderId="0" applyAlignment="1" pivotButton="0" quotePrefix="0" xfId="0">
      <alignment horizontal="left" vertical="center" indent="1"/>
    </xf>
    <xf numFmtId="0" fontId="46" fillId="2" borderId="1" applyAlignment="1" pivotButton="0" quotePrefix="0" xfId="0">
      <alignment horizontal="left" vertical="center" indent="1"/>
    </xf>
  </cellXfs>
  <cellStyles count="1">
    <cellStyle name="Normal" xfId="0" builtinId="0" hidden="0"/>
  </cellStyles>
  <dxfs count="13">
    <dxf>
      <font>
        <color rgb="001E9E5A"/>
      </font>
    </dxf>
    <dxf>
      <font>
        <color rgb="00F2B705"/>
      </font>
    </dxf>
    <dxf>
      <font>
        <color rgb="00D93F3F"/>
      </font>
    </dxf>
    <dxf>
      <font>
        <b val="1"/>
        <color rgb="00FFFFFF"/>
      </font>
      <fill>
        <patternFill patternType="solid">
          <fgColor rgb="001E9E5A"/>
          <bgColor rgb="001E9E5A"/>
        </patternFill>
      </fill>
    </dxf>
    <dxf>
      <font>
        <b val="1"/>
        <color rgb="006B4E00"/>
      </font>
      <fill>
        <patternFill patternType="solid">
          <fgColor rgb="00F2B705"/>
          <bgColor rgb="00F2B705"/>
        </patternFill>
      </fill>
    </dxf>
    <dxf>
      <font>
        <b val="1"/>
        <color rgb="00FFFFFF"/>
      </font>
      <fill>
        <patternFill patternType="solid">
          <fgColor rgb="00D93F3F"/>
          <bgColor rgb="00D93F3F"/>
        </patternFill>
      </fill>
    </dxf>
    <dxf>
      <font>
        <b val="1"/>
        <color rgb="001E9E5A"/>
      </font>
    </dxf>
    <dxf>
      <font>
        <b val="1"/>
        <color rgb="009A7400"/>
      </font>
    </dxf>
    <dxf>
      <font>
        <b val="1"/>
        <color rgb="00D93F3F"/>
      </font>
    </dxf>
    <dxf>
      <font>
        <b val="1"/>
        <color rgb="001E9E5A"/>
      </font>
      <fill>
        <patternFill patternType="solid">
          <fgColor rgb="00D7F2E3"/>
          <bgColor rgb="00D7F2E3"/>
        </patternFill>
      </fill>
    </dxf>
    <dxf>
      <font>
        <b val="1"/>
        <color rgb="006B4E00"/>
      </font>
      <fill>
        <patternFill patternType="solid">
          <fgColor rgb="00FFF1C2"/>
          <bgColor rgb="00FFF1C2"/>
        </patternFill>
      </fill>
    </dxf>
    <dxf>
      <font>
        <b val="1"/>
        <color rgb="00D93F3F"/>
      </font>
      <fill>
        <patternFill patternType="solid">
          <fgColor rgb="00FADCDC"/>
          <bgColor rgb="00FADCDC"/>
        </patternFill>
      </fill>
    </dxf>
    <dxf>
      <font>
        <b val="1"/>
        <color rgb="002574A9"/>
      </font>
      <fill>
        <patternFill patternType="solid">
          <fgColor rgb="00DCEEF7"/>
          <bgColor rgb="00DCEE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roundedCorners val="0"/>
  <chart>
    <autoTitleDeleted val="1"/>
    <plotArea>
      <barChart>
        <barDir val="col"/>
        <grouping val="clustered"/>
        <ser>
          <idx val="0"/>
          <order val="0"/>
          <tx>
            <strRef>
              <f>'CÁLCULOS'!B12</f>
            </strRef>
          </tx>
          <spPr>
            <a:solidFill xmlns:a="http://schemas.openxmlformats.org/drawingml/2006/main">
              <a:srgbClr val="1E9E5A"/>
            </a:solidFill>
            <a:ln xmlns:a="http://schemas.openxmlformats.org/drawingml/2006/main">
              <a:noFill/>
              <a:prstDash val="solid"/>
            </a:ln>
          </spPr>
          <cat>
            <numRef>
              <f>'CÁLCULOS'!$A$13:$A$24</f>
            </numRef>
          </cat>
          <val>
            <numRef>
              <f>'CÁLCULOS'!$B$13:$B$24</f>
            </numRef>
          </val>
        </ser>
        <ser>
          <idx val="1"/>
          <order val="1"/>
          <tx>
            <strRef>
              <f>'CÁLCULOS'!C12</f>
            </strRef>
          </tx>
          <spPr>
            <a:solidFill xmlns:a="http://schemas.openxmlformats.org/drawingml/2006/main">
              <a:srgbClr val="F2B705"/>
            </a:solidFill>
            <a:ln xmlns:a="http://schemas.openxmlformats.org/drawingml/2006/main">
              <a:noFill/>
              <a:prstDash val="solid"/>
            </a:ln>
          </spPr>
          <cat>
            <numRef>
              <f>'CÁLCULOS'!$A$13:$A$24</f>
            </numRef>
          </cat>
          <val>
            <numRef>
              <f>'CÁLCULOS'!$C$13:$C$24</f>
            </numRef>
          </val>
        </ser>
        <ser>
          <idx val="2"/>
          <order val="2"/>
          <tx>
            <strRef>
              <f>'CÁLCULOS'!D12</f>
            </strRef>
          </tx>
          <spPr>
            <a:solidFill xmlns:a="http://schemas.openxmlformats.org/drawingml/2006/main">
              <a:srgbClr val="D93F3F"/>
            </a:solidFill>
            <a:ln xmlns:a="http://schemas.openxmlformats.org/drawingml/2006/main">
              <a:noFill/>
              <a:prstDash val="solid"/>
            </a:ln>
          </spPr>
          <cat>
            <numRef>
              <f>'CÁLCULOS'!$A$13:$A$24</f>
            </numRef>
          </cat>
          <val>
            <numRef>
              <f>'CÁLCULOS'!$D$13:$D$24</f>
            </numRef>
          </val>
        </ser>
        <gapWidth val="45"/>
        <overlap val="100"/>
        <axId val="10"/>
        <axId val="100"/>
      </barChart>
      <lineChart>
        <grouping val="standard"/>
        <ser>
          <idx val="3"/>
          <order val="3"/>
          <tx>
            <strRef>
              <f>'CÁLCULOS'!E12</f>
            </strRef>
          </tx>
          <spPr>
            <a:ln xmlns:a="http://schemas.openxmlformats.org/drawingml/2006/main" w="22225">
              <a:solidFill>
                <a:srgbClr val="0F2342"/>
              </a:solidFill>
              <a:prstDash val="dash"/>
            </a:ln>
          </spPr>
          <marker>
            <symbol val="none"/>
            <spPr>
              <a:ln xmlns:a="http://schemas.openxmlformats.org/drawingml/2006/main">
                <a:prstDash val="solid"/>
              </a:ln>
            </spPr>
          </marker>
          <val>
            <numRef>
              <f>'CÁLCULOS'!$E$13:$E$24</f>
            </numRef>
          </val>
          <smooth val="0"/>
        </ser>
        <axId val="10"/>
        <axId val="100"/>
      </lineChart>
      <catAx>
        <axId val="10"/>
        <scaling>
          <orientation val="minMax"/>
        </scaling>
        <delete val="0"/>
        <axPos val="l"/>
        <majorTickMark val="none"/>
        <minorTickMark val="none"/>
        <spPr>
          <a:ln xmlns:a="http://schemas.openxmlformats.org/drawingml/2006/main">
            <a:solidFill>
              <a:srgbClr val="B8C4D2"/>
            </a:solidFill>
            <a:prstDash val="solid"/>
          </a:ln>
        </spPr>
        <txPr>
          <a:bodyPr xmlns:a="http://schemas.openxmlformats.org/drawingml/2006/main"/>
          <a:p xmlns:a="http://schemas.openxmlformats.org/drawingml/2006/main">
            <a:pPr>
              <a:defRPr sz="900" b="0">
                <a:solidFill>
                  <a:srgbClr val="5B6B80"/>
                </a:solidFill>
                <a:latin typeface="Arial"/>
              </a:defRPr>
            </a:pPr>
            <a:r>
              <a:t/>
            </a:r>
            <a:endParaRPr sz="900" b="0">
              <a:solidFill>
                <a:srgbClr val="5B6B80"/>
              </a:solidFill>
              <a:latin typeface="Arial"/>
            </a:endParaRPr>
          </a:p>
        </txPr>
        <crossAx val="100"/>
        <lblOffset val="100"/>
      </catAx>
      <valAx>
        <axId val="100"/>
        <scaling>
          <orientation val="minMax"/>
          <max val="1"/>
          <min val="0"/>
        </scaling>
        <delete val="0"/>
        <axPos val="l"/>
        <majorGridlines>
          <spPr>
            <a:ln xmlns:a="http://schemas.openxmlformats.org/drawingml/2006/main">
              <a:solidFill>
                <a:srgbClr val="E6EBF1"/>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B6B80"/>
                </a:solidFill>
                <a:latin typeface="Arial"/>
              </a:defRPr>
            </a:pPr>
            <a:r>
              <a:t/>
            </a:r>
            <a:endParaRPr sz="900" b="0">
              <a:solidFill>
                <a:srgbClr val="5B6B80"/>
              </a:solidFill>
              <a:latin typeface="Arial"/>
            </a:endParaRPr>
          </a:p>
        </txPr>
        <crossAx val="10"/>
        <majorUnit val="0.25"/>
      </valAx>
    </plotArea>
    <legend>
      <legendPos val="b"/>
      <txPr>
        <a:bodyPr xmlns:a="http://schemas.openxmlformats.org/drawingml/2006/main"/>
        <a:p xmlns:a="http://schemas.openxmlformats.org/drawingml/2006/main">
          <a:pPr>
            <a:defRPr sz="900" b="0">
              <a:solidFill>
                <a:srgbClr val="1B2B44"/>
              </a:solidFill>
              <a:latin typeface="Arial"/>
            </a:defRPr>
          </a:pPr>
          <a:r>
            <a:t/>
          </a:r>
          <a:endParaRPr sz="900" b="0">
            <a:solidFill>
              <a:srgbClr val="1B2B44"/>
            </a:solidFill>
            <a:latin typeface="Arial"/>
          </a:endParaRPr>
        </a:p>
      </txPr>
    </legend>
    <plotVisOnly val="1"/>
    <dispBlanksAs val="gap"/>
  </chart>
  <spPr>
    <a:solidFill xmlns:a="http://schemas.openxmlformats.org/drawingml/2006/main">
      <a:srgbClr val="FFFFFF"/>
    </a:solidFill>
    <a:ln xmlns:a="http://schemas.openxmlformats.org/drawingml/2006/main">
      <a:solidFill>
        <a:srgbClr val="D5DEE8"/>
      </a:solidFill>
      <a:prstDash val="solid"/>
    </a:ln>
  </spPr>
</chartSpace>
</file>

<file path=xl/charts/chart2.xml><?xml version="1.0" encoding="utf-8"?>
<chartSpace xmlns="http://schemas.openxmlformats.org/drawingml/2006/chart">
  <roundedCorners val="0"/>
  <chart>
    <autoTitleDeleted val="1"/>
    <plotArea>
      <pieChart>
        <varyColors val="1"/>
        <ser>
          <idx val="0"/>
          <order val="0"/>
          <tx>
            <strRef>
              <f>'CÁLCULOS'!B35</f>
            </strRef>
          </tx>
          <spPr>
            <a:ln xmlns:a="http://schemas.openxmlformats.org/drawingml/2006/main">
              <a:prstDash val="solid"/>
            </a:ln>
          </spPr>
          <dPt>
            <idx val="0"/>
            <spPr>
              <a:solidFill xmlns:a="http://schemas.openxmlformats.org/drawingml/2006/main">
                <a:srgbClr val="1E9E5A"/>
              </a:solidFill>
              <a:ln xmlns:a="http://schemas.openxmlformats.org/drawingml/2006/main" w="19050">
                <a:solidFill>
                  <a:srgbClr val="FFFFFF"/>
                </a:solidFill>
                <a:prstDash val="solid"/>
              </a:ln>
            </spPr>
          </dPt>
          <dPt>
            <idx val="1"/>
            <spPr>
              <a:solidFill xmlns:a="http://schemas.openxmlformats.org/drawingml/2006/main">
                <a:srgbClr val="F2B705"/>
              </a:solidFill>
              <a:ln xmlns:a="http://schemas.openxmlformats.org/drawingml/2006/main" w="19050">
                <a:solidFill>
                  <a:srgbClr val="FFFFFF"/>
                </a:solidFill>
                <a:prstDash val="solid"/>
              </a:ln>
            </spPr>
          </dPt>
          <dPt>
            <idx val="2"/>
            <spPr>
              <a:solidFill xmlns:a="http://schemas.openxmlformats.org/drawingml/2006/main">
                <a:srgbClr val="D93F3F"/>
              </a:solidFill>
              <a:ln xmlns:a="http://schemas.openxmlformats.org/drawingml/2006/main" w="19050">
                <a:solidFill>
                  <a:srgbClr val="FFFFFF"/>
                </a:solidFill>
                <a:prstDash val="solid"/>
              </a:ln>
            </spPr>
          </dPt>
          <cat>
            <numRef>
              <f>'CÁLCULOS'!$A$36:$A$38</f>
            </numRef>
          </cat>
          <val>
            <numRef>
              <f>'CÁLCULOS'!$B$36:$B$38</f>
            </numRef>
          </val>
        </ser>
        <dLbls>
          <txPr>
            <a:bodyPr xmlns:a="http://schemas.openxmlformats.org/drawingml/2006/main"/>
            <a:p xmlns:a="http://schemas.openxmlformats.org/drawingml/2006/main">
              <a:pPr>
                <a:defRPr sz="1000" b="1">
                  <a:solidFill>
                    <a:srgbClr val="1B2B44"/>
                  </a:solidFill>
                  <a:latin typeface="Arial"/>
                </a:defRPr>
              </a:pPr>
              <a:r>
                <a:t/>
              </a:r>
              <a:endParaRPr sz="1000" b="1">
                <a:solidFill>
                  <a:srgbClr val="1B2B44"/>
                </a:solidFill>
                <a:latin typeface="Arial"/>
              </a:endParaRPr>
            </a:p>
          </txPr>
          <dLblPos val="bestFit"/>
          <showLegendKey val="0"/>
          <showVal val="0"/>
          <showCatName val="0"/>
          <showSerName val="0"/>
          <showPercent val="1"/>
          <showLeaderLines val="0"/>
        </dLbls>
        <firstSliceAng val="0"/>
      </pieChart>
    </plotArea>
    <legend>
      <legendPos val="b"/>
      <txPr>
        <a:bodyPr xmlns:a="http://schemas.openxmlformats.org/drawingml/2006/main"/>
        <a:p xmlns:a="http://schemas.openxmlformats.org/drawingml/2006/main">
          <a:pPr>
            <a:defRPr sz="900" b="0">
              <a:solidFill>
                <a:srgbClr val="1B2B44"/>
              </a:solidFill>
              <a:latin typeface="Arial"/>
            </a:defRPr>
          </a:pPr>
          <a:r>
            <a:t/>
          </a:r>
          <a:endParaRPr sz="900" b="0">
            <a:solidFill>
              <a:srgbClr val="1B2B44"/>
            </a:solidFill>
            <a:latin typeface="Arial"/>
          </a:endParaRPr>
        </a:p>
      </txPr>
    </legend>
    <plotVisOnly val="1"/>
    <dispBlanksAs val="gap"/>
  </chart>
  <spPr>
    <a:solidFill xmlns:a="http://schemas.openxmlformats.org/drawingml/2006/main">
      <a:srgbClr val="FFFFFF"/>
    </a:solidFill>
    <a:ln xmlns:a="http://schemas.openxmlformats.org/drawingml/2006/main">
      <a:solidFill>
        <a:srgbClr val="D5DEE8"/>
      </a:solidFill>
      <a:prstDash val="solid"/>
    </a:ln>
  </spPr>
</chartSpace>
</file>

<file path=xl/charts/chart3.xml><?xml version="1.0" encoding="utf-8"?>
<chartSpace xmlns="http://schemas.openxmlformats.org/drawingml/2006/chart">
  <roundedCorners val="0"/>
  <chart>
    <autoTitleDeleted val="1"/>
    <plotArea>
      <barChart>
        <barDir val="col"/>
        <grouping val="clustered"/>
        <ser>
          <idx val="0"/>
          <order val="0"/>
          <tx>
            <strRef>
              <f>'REGISTRO'!C35</f>
            </strRef>
          </tx>
          <spPr>
            <a:solidFill xmlns:a="http://schemas.openxmlformats.org/drawingml/2006/main">
              <a:srgbClr val="A9CBE8"/>
            </a:solidFill>
            <a:ln xmlns:a="http://schemas.openxmlformats.org/drawingml/2006/main">
              <a:noFill/>
              <a:prstDash val="solid"/>
            </a:ln>
          </spPr>
          <cat>
            <numRef>
              <f>'REGISTRO'!$B$36:$B$40</f>
            </numRef>
          </cat>
          <val>
            <numRef>
              <f>'REGISTRO'!$C$36:$C$40</f>
            </numRef>
          </val>
        </ser>
        <ser>
          <idx val="1"/>
          <order val="1"/>
          <tx>
            <strRef>
              <f>'REGISTRO'!D35</f>
            </strRef>
          </tx>
          <spPr>
            <a:solidFill xmlns:a="http://schemas.openxmlformats.org/drawingml/2006/main">
              <a:srgbClr val="4A90C8"/>
            </a:solidFill>
            <a:ln xmlns:a="http://schemas.openxmlformats.org/drawingml/2006/main">
              <a:noFill/>
              <a:prstDash val="solid"/>
            </a:ln>
          </spPr>
          <cat>
            <numRef>
              <f>'REGISTRO'!$B$36:$B$40</f>
            </numRef>
          </cat>
          <val>
            <numRef>
              <f>'REGISTRO'!$D$36:$D$40</f>
            </numRef>
          </val>
        </ser>
        <ser>
          <idx val="2"/>
          <order val="2"/>
          <tx>
            <strRef>
              <f>'REGISTRO'!E35</f>
            </strRef>
          </tx>
          <spPr>
            <a:solidFill xmlns:a="http://schemas.openxmlformats.org/drawingml/2006/main">
              <a:srgbClr val="17365D"/>
            </a:solidFill>
            <a:ln xmlns:a="http://schemas.openxmlformats.org/drawingml/2006/main">
              <a:noFill/>
              <a:prstDash val="solid"/>
            </a:ln>
          </spPr>
          <cat>
            <numRef>
              <f>'REGISTRO'!$B$36:$B$40</f>
            </numRef>
          </cat>
          <val>
            <numRef>
              <f>'REGISTRO'!$E$36:$E$40</f>
            </numRef>
          </val>
        </ser>
        <gapWidth val="70"/>
        <overlap val="-6"/>
        <axId val="10"/>
        <axId val="100"/>
      </barChart>
      <lineChart>
        <grouping val="standard"/>
        <ser>
          <idx val="3"/>
          <order val="3"/>
          <tx>
            <strRef>
              <f>'CÁLCULOS'!E27</f>
            </strRef>
          </tx>
          <spPr>
            <a:ln xmlns:a="http://schemas.openxmlformats.org/drawingml/2006/main" w="22225">
              <a:solidFill>
                <a:srgbClr val="1E9E5A"/>
              </a:solidFill>
              <a:prstDash val="dash"/>
            </a:ln>
          </spPr>
          <marker>
            <symbol val="none"/>
            <spPr>
              <a:ln xmlns:a="http://schemas.openxmlformats.org/drawingml/2006/main">
                <a:prstDash val="solid"/>
              </a:ln>
            </spPr>
          </marker>
          <val>
            <numRef>
              <f>'CÁLCULOS'!$E$28:$E$32</f>
            </numRef>
          </val>
          <smooth val="0"/>
        </ser>
        <axId val="10"/>
        <axId val="100"/>
      </lineChart>
      <catAx>
        <axId val="10"/>
        <scaling>
          <orientation val="minMax"/>
        </scaling>
        <delete val="0"/>
        <axPos val="l"/>
        <majorTickMark val="none"/>
        <minorTickMark val="none"/>
        <spPr>
          <a:ln xmlns:a="http://schemas.openxmlformats.org/drawingml/2006/main">
            <a:solidFill>
              <a:srgbClr val="B8C4D2"/>
            </a:solidFill>
            <a:prstDash val="solid"/>
          </a:ln>
        </spPr>
        <txPr>
          <a:bodyPr xmlns:a="http://schemas.openxmlformats.org/drawingml/2006/main"/>
          <a:p xmlns:a="http://schemas.openxmlformats.org/drawingml/2006/main">
            <a:pPr>
              <a:defRPr sz="900" b="0">
                <a:solidFill>
                  <a:srgbClr val="5B6B80"/>
                </a:solidFill>
                <a:latin typeface="Arial"/>
              </a:defRPr>
            </a:pPr>
            <a:r>
              <a:t/>
            </a:r>
            <a:endParaRPr sz="900" b="0">
              <a:solidFill>
                <a:srgbClr val="5B6B80"/>
              </a:solidFill>
              <a:latin typeface="Arial"/>
            </a:endParaRPr>
          </a:p>
        </txPr>
        <crossAx val="100"/>
        <lblOffset val="100"/>
      </catAx>
      <valAx>
        <axId val="100"/>
        <scaling>
          <orientation val="minMax"/>
          <max val="10"/>
          <min val="0"/>
        </scaling>
        <delete val="0"/>
        <axPos val="l"/>
        <majorGridlines>
          <spPr>
            <a:ln xmlns:a="http://schemas.openxmlformats.org/drawingml/2006/main">
              <a:solidFill>
                <a:srgbClr val="E6EBF1"/>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B6B80"/>
                </a:solidFill>
                <a:latin typeface="Arial"/>
              </a:defRPr>
            </a:pPr>
            <a:r>
              <a:t/>
            </a:r>
            <a:endParaRPr sz="900" b="0">
              <a:solidFill>
                <a:srgbClr val="5B6B80"/>
              </a:solidFill>
              <a:latin typeface="Arial"/>
            </a:endParaRPr>
          </a:p>
        </txPr>
        <crossAx val="10"/>
        <majorUnit val="2"/>
      </valAx>
    </plotArea>
    <legend>
      <legendPos val="b"/>
      <txPr>
        <a:bodyPr xmlns:a="http://schemas.openxmlformats.org/drawingml/2006/main"/>
        <a:p xmlns:a="http://schemas.openxmlformats.org/drawingml/2006/main">
          <a:pPr>
            <a:defRPr sz="900" b="0">
              <a:solidFill>
                <a:srgbClr val="1B2B44"/>
              </a:solidFill>
              <a:latin typeface="Arial"/>
            </a:defRPr>
          </a:pPr>
          <a:r>
            <a:t/>
          </a:r>
          <a:endParaRPr sz="900" b="0">
            <a:solidFill>
              <a:srgbClr val="1B2B44"/>
            </a:solidFill>
            <a:latin typeface="Arial"/>
          </a:endParaRPr>
        </a:p>
      </txPr>
    </legend>
    <plotVisOnly val="1"/>
    <dispBlanksAs val="gap"/>
  </chart>
  <spPr>
    <a:solidFill xmlns:a="http://schemas.openxmlformats.org/drawingml/2006/main">
      <a:srgbClr val="FFFFFF"/>
    </a:solidFill>
    <a:ln xmlns:a="http://schemas.openxmlformats.org/drawingml/2006/main">
      <a:solidFill>
        <a:srgbClr val="D5DEE8"/>
      </a:solidFill>
      <a:prstDash val="solid"/>
    </a:ln>
  </spPr>
</chartSpace>
</file>

<file path=xl/charts/chart4.xml><?xml version="1.0" encoding="utf-8"?>
<chartSpace xmlns="http://schemas.openxmlformats.org/drawingml/2006/chart">
  <roundedCorners val="0"/>
  <chart>
    <autoTitleDeleted val="1"/>
    <plotArea>
      <doughnutChart>
        <varyColors val="1"/>
        <ser>
          <idx val="0"/>
          <order val="0"/>
          <tx>
            <strRef>
              <f>'CÁLCULOS'!B41</f>
            </strRef>
          </tx>
          <spPr>
            <a:ln xmlns:a="http://schemas.openxmlformats.org/drawingml/2006/main">
              <a:prstDash val="solid"/>
            </a:ln>
          </spPr>
          <dPt>
            <idx val="0"/>
            <spPr>
              <a:solidFill xmlns:a="http://schemas.openxmlformats.org/drawingml/2006/main">
                <a:srgbClr val="1E9E5A"/>
              </a:solidFill>
              <a:ln xmlns:a="http://schemas.openxmlformats.org/drawingml/2006/main" w="19050">
                <a:solidFill>
                  <a:srgbClr val="FFFFFF"/>
                </a:solidFill>
                <a:prstDash val="solid"/>
              </a:ln>
            </spPr>
          </dPt>
          <dPt>
            <idx val="1"/>
            <spPr>
              <a:solidFill xmlns:a="http://schemas.openxmlformats.org/drawingml/2006/main">
                <a:srgbClr val="2574A9"/>
              </a:solidFill>
              <a:ln xmlns:a="http://schemas.openxmlformats.org/drawingml/2006/main" w="19050">
                <a:solidFill>
                  <a:srgbClr val="FFFFFF"/>
                </a:solidFill>
                <a:prstDash val="solid"/>
              </a:ln>
            </spPr>
          </dPt>
          <dPt>
            <idx val="2"/>
            <spPr>
              <a:solidFill xmlns:a="http://schemas.openxmlformats.org/drawingml/2006/main">
                <a:srgbClr val="C9D3DE"/>
              </a:solidFill>
              <a:ln xmlns:a="http://schemas.openxmlformats.org/drawingml/2006/main" w="19050">
                <a:solidFill>
                  <a:srgbClr val="FFFFFF"/>
                </a:solidFill>
                <a:prstDash val="solid"/>
              </a:ln>
            </spPr>
          </dPt>
          <cat>
            <numRef>
              <f>'CÁLCULOS'!$A$42:$A$44</f>
            </numRef>
          </cat>
          <val>
            <numRef>
              <f>'CÁLCULOS'!$B$42:$B$44</f>
            </numRef>
          </val>
        </ser>
        <dLbls>
          <numFmt formatCode="0;;;" sourceLinked="0"/>
          <txPr>
            <a:bodyPr xmlns:a="http://schemas.openxmlformats.org/drawingml/2006/main"/>
            <a:p xmlns:a="http://schemas.openxmlformats.org/drawingml/2006/main">
              <a:pPr>
                <a:defRPr sz="1000" b="1">
                  <a:solidFill>
                    <a:srgbClr val="FFFFFF"/>
                  </a:solidFill>
                  <a:latin typeface="Arial"/>
                </a:defRPr>
              </a:pPr>
              <a:r>
                <a:t/>
              </a:r>
              <a:endParaRPr sz="1000" b="1">
                <a:solidFill>
                  <a:srgbClr val="FFFFFF"/>
                </a:solidFill>
                <a:latin typeface="Arial"/>
              </a:endParaRPr>
            </a:p>
          </txPr>
          <showLegendKey val="0"/>
          <showVal val="1"/>
          <showCatName val="0"/>
          <showSerName val="0"/>
          <showPercent val="0"/>
          <showLeaderLines val="0"/>
        </dLbls>
        <firstSliceAng val="0"/>
        <holeSize val="55"/>
      </doughnutChart>
    </plotArea>
    <legend>
      <legendPos val="b"/>
      <txPr>
        <a:bodyPr xmlns:a="http://schemas.openxmlformats.org/drawingml/2006/main"/>
        <a:p xmlns:a="http://schemas.openxmlformats.org/drawingml/2006/main">
          <a:pPr>
            <a:defRPr sz="900" b="0">
              <a:solidFill>
                <a:srgbClr val="1B2B44"/>
              </a:solidFill>
              <a:latin typeface="Arial"/>
            </a:defRPr>
          </a:pPr>
          <a:r>
            <a:t/>
          </a:r>
          <a:endParaRPr sz="900" b="0">
            <a:solidFill>
              <a:srgbClr val="1B2B44"/>
            </a:solidFill>
            <a:latin typeface="Arial"/>
          </a:endParaRPr>
        </a:p>
      </txPr>
    </legend>
    <plotVisOnly val="1"/>
    <dispBlanksAs val="gap"/>
  </chart>
  <spPr>
    <a:solidFill xmlns:a="http://schemas.openxmlformats.org/drawingml/2006/main">
      <a:srgbClr val="FFFFFF"/>
    </a:solidFill>
    <a:ln xmlns:a="http://schemas.openxmlformats.org/drawingml/2006/main">
      <a:solidFill>
        <a:srgbClr val="D5DEE8"/>
      </a:solidFill>
      <a:prstDash val="solid"/>
    </a:ln>
  </spPr>
</chartSpace>
</file>

<file path=xl/charts/chart5.xml><?xml version="1.0" encoding="utf-8"?>
<chartSpace xmlns="http://schemas.openxmlformats.org/drawingml/2006/chart">
  <roundedCorners val="0"/>
  <chart>
    <autoTitleDeleted val="1"/>
    <plotArea>
      <barChart>
        <barDir val="bar"/>
        <grouping val="clustered"/>
        <ser>
          <idx val="0"/>
          <order val="0"/>
          <tx>
            <strRef>
              <f>'CÁLCULOS'!B27</f>
            </strRef>
          </tx>
          <spPr>
            <a:solidFill xmlns:a="http://schemas.openxmlformats.org/drawingml/2006/main">
              <a:srgbClr val="1E9E5A"/>
            </a:solidFill>
            <a:ln xmlns:a="http://schemas.openxmlformats.org/drawingml/2006/main">
              <a:noFill/>
              <a:prstDash val="solid"/>
            </a:ln>
          </spPr>
          <cat>
            <numRef>
              <f>'CÁLCULOS'!$A$28:$A$32</f>
            </numRef>
          </cat>
          <val>
            <numRef>
              <f>'CÁLCULOS'!$B$28:$B$32</f>
            </numRef>
          </val>
        </ser>
        <ser>
          <idx val="1"/>
          <order val="1"/>
          <tx>
            <strRef>
              <f>'CÁLCULOS'!C27</f>
            </strRef>
          </tx>
          <spPr>
            <a:solidFill xmlns:a="http://schemas.openxmlformats.org/drawingml/2006/main">
              <a:srgbClr val="F2B705"/>
            </a:solidFill>
            <a:ln xmlns:a="http://schemas.openxmlformats.org/drawingml/2006/main">
              <a:noFill/>
              <a:prstDash val="solid"/>
            </a:ln>
          </spPr>
          <cat>
            <numRef>
              <f>'CÁLCULOS'!$A$28:$A$32</f>
            </numRef>
          </cat>
          <val>
            <numRef>
              <f>'CÁLCULOS'!$C$28:$C$32</f>
            </numRef>
          </val>
        </ser>
        <ser>
          <idx val="2"/>
          <order val="2"/>
          <tx>
            <strRef>
              <f>'CÁLCULOS'!D27</f>
            </strRef>
          </tx>
          <spPr>
            <a:solidFill xmlns:a="http://schemas.openxmlformats.org/drawingml/2006/main">
              <a:srgbClr val="D93F3F"/>
            </a:solidFill>
            <a:ln xmlns:a="http://schemas.openxmlformats.org/drawingml/2006/main">
              <a:noFill/>
              <a:prstDash val="solid"/>
            </a:ln>
          </spPr>
          <cat>
            <numRef>
              <f>'CÁLCULOS'!$A$28:$A$32</f>
            </numRef>
          </cat>
          <val>
            <numRef>
              <f>'CÁLCULOS'!$D$28:$D$32</f>
            </numRef>
          </val>
        </ser>
        <dLbls>
          <numFmt formatCode="0.0;;;" sourceLinked="0"/>
          <txPr>
            <a:bodyPr xmlns:a="http://schemas.openxmlformats.org/drawingml/2006/main"/>
            <a:p xmlns:a="http://schemas.openxmlformats.org/drawingml/2006/main">
              <a:pPr>
                <a:defRPr sz="900" b="1">
                  <a:solidFill>
                    <a:srgbClr val="1B2B44"/>
                  </a:solidFill>
                  <a:latin typeface="Arial"/>
                </a:defRPr>
              </a:pPr>
              <a:r>
                <a:t/>
              </a:r>
              <a:endParaRPr sz="900" b="1">
                <a:solidFill>
                  <a:srgbClr val="1B2B44"/>
                </a:solidFill>
                <a:latin typeface="Arial"/>
              </a:endParaRPr>
            </a:p>
          </txPr>
          <dLblPos val="outEnd"/>
          <showLegendKey val="0"/>
          <showVal val="1"/>
          <showCatName val="0"/>
          <showSerName val="0"/>
        </dLbls>
        <gapWidth val="55"/>
        <overlap val="100"/>
        <axId val="10"/>
        <axId val="100"/>
      </barChart>
      <catAx>
        <axId val="10"/>
        <scaling>
          <orientation val="maxMin"/>
        </scaling>
        <delete val="0"/>
        <axPos val="l"/>
        <majorTickMark val="none"/>
        <minorTickMark val="none"/>
        <spPr>
          <a:ln xmlns:a="http://schemas.openxmlformats.org/drawingml/2006/main">
            <a:solidFill>
              <a:srgbClr val="B8C4D2"/>
            </a:solidFill>
            <a:prstDash val="solid"/>
          </a:ln>
        </spPr>
        <txPr>
          <a:bodyPr xmlns:a="http://schemas.openxmlformats.org/drawingml/2006/main"/>
          <a:p xmlns:a="http://schemas.openxmlformats.org/drawingml/2006/main">
            <a:pPr>
              <a:defRPr sz="900" b="0">
                <a:solidFill>
                  <a:srgbClr val="5B6B80"/>
                </a:solidFill>
                <a:latin typeface="Arial"/>
              </a:defRPr>
            </a:pPr>
            <a:r>
              <a:t/>
            </a:r>
            <a:endParaRPr sz="900" b="0">
              <a:solidFill>
                <a:srgbClr val="5B6B80"/>
              </a:solidFill>
              <a:latin typeface="Arial"/>
            </a:endParaRPr>
          </a:p>
        </txPr>
        <crossAx val="100"/>
        <lblOffset val="100"/>
      </catAx>
      <valAx>
        <axId val="100"/>
        <scaling>
          <orientation val="minMax"/>
          <max val="10"/>
          <min val="0"/>
        </scaling>
        <delete val="0"/>
        <axPos val="l"/>
        <majorGridlines>
          <spPr>
            <a:ln xmlns:a="http://schemas.openxmlformats.org/drawingml/2006/main">
              <a:solidFill>
                <a:srgbClr val="E6EBF1"/>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900" b="0">
                <a:solidFill>
                  <a:srgbClr val="5B6B80"/>
                </a:solidFill>
                <a:latin typeface="Arial"/>
              </a:defRPr>
            </a:pPr>
            <a:r>
              <a:t/>
            </a:r>
            <a:endParaRPr sz="900" b="0">
              <a:solidFill>
                <a:srgbClr val="5B6B80"/>
              </a:solidFill>
              <a:latin typeface="Arial"/>
            </a:endParaRPr>
          </a:p>
        </txPr>
        <crossAx val="10"/>
        <crosses val="max"/>
        <majorUnit val="2"/>
      </valAx>
    </plotArea>
    <legend>
      <legendPos val="b"/>
      <txPr>
        <a:bodyPr xmlns:a="http://schemas.openxmlformats.org/drawingml/2006/main"/>
        <a:p xmlns:a="http://schemas.openxmlformats.org/drawingml/2006/main">
          <a:pPr>
            <a:defRPr sz="900" b="0">
              <a:solidFill>
                <a:srgbClr val="1B2B44"/>
              </a:solidFill>
              <a:latin typeface="Arial"/>
            </a:defRPr>
          </a:pPr>
          <a:r>
            <a:t/>
          </a:r>
          <a:endParaRPr sz="900" b="0">
            <a:solidFill>
              <a:srgbClr val="1B2B44"/>
            </a:solidFill>
            <a:latin typeface="Arial"/>
          </a:endParaRPr>
        </a:p>
      </txPr>
    </legend>
    <plotVisOnly val="1"/>
    <dispBlanksAs val="gap"/>
  </chart>
  <spPr>
    <a:solidFill xmlns:a="http://schemas.openxmlformats.org/drawingml/2006/main">
      <a:srgbClr val="FFFFFF"/>
    </a:solidFill>
    <a:ln xmlns:a="http://schemas.openxmlformats.org/drawingml/2006/main">
      <a:solidFill>
        <a:srgbClr val="D5DEE8"/>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1</col>
      <colOff>0</colOff>
      <row>13</row>
      <rowOff>0</rowOff>
    </from>
    <to>
      <col>11</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11</col>
      <colOff>0</colOff>
      <row>13</row>
      <rowOff>0</rowOff>
    </from>
    <to>
      <col>17</col>
      <colOff>0</colOff>
      <row>29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31</row>
      <rowOff>0</rowOff>
    </from>
    <to>
      <col>11</col>
      <colOff>0</colOff>
      <row>47</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11</col>
      <colOff>0</colOff>
      <row>31</row>
      <rowOff>0</rowOff>
    </from>
    <to>
      <col>17</col>
      <colOff>0</colOff>
      <row>44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11</col>
      <colOff>0</colOff>
      <row>57</row>
      <rowOff>0</rowOff>
    </from>
    <to>
      <col>17</col>
      <colOff>0</colOff>
      <row>73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www.youtube.com/watch?v=830NHbvbo5g" TargetMode="External" Id="rId1"/><Relationship Type="http://schemas.openxmlformats.org/officeDocument/2006/relationships/hyperlink" Target="https://www.youtube.com/watch?v=Oanr41Tz28U" TargetMode="External" Id="rId2"/><Relationship Type="http://schemas.openxmlformats.org/officeDocument/2006/relationships/hyperlink" Target="https://www.youtube.com/watch?v=Pfi1kE2tYBs" TargetMode="External" Id="rId3"/><Relationship Type="http://schemas.openxmlformats.org/officeDocument/2006/relationships/hyperlink" Target="https://www.youtube.com/watch?v=D3kV5dMn5fk" TargetMode="External" Id="rId4"/><Relationship Type="http://schemas.openxmlformats.org/officeDocument/2006/relationships/hyperlink" Target="https://www.youtube.com/watch?v=1SEOOoMEm78" TargetMode="External" Id="rId5"/></Relationships>
</file>

<file path=xl/worksheets/sheet1.xml><?xml version="1.0" encoding="utf-8"?>
<worksheet xmlns="http://schemas.openxmlformats.org/spreadsheetml/2006/main">
  <sheetPr>
    <tabColor rgb="000F2342"/>
    <outlinePr summaryBelow="1" summaryRight="1"/>
    <pageSetUpPr fitToPage="1"/>
  </sheetPr>
  <dimension ref="A1:H32"/>
  <sheetViews>
    <sheetView showGridLines="0" workbookViewId="0">
      <selection activeCell="A1" sqref="A1"/>
    </sheetView>
  </sheetViews>
  <sheetFormatPr baseColWidth="8" defaultRowHeight="15"/>
  <cols>
    <col width="2" customWidth="1" min="1" max="1"/>
    <col width="20" customWidth="1" min="2" max="2"/>
    <col width="22" customWidth="1" min="3" max="3"/>
    <col width="30" customWidth="1" min="4" max="4"/>
    <col width="44" customWidth="1" min="5" max="5"/>
    <col width="36" customWidth="1" min="6" max="6"/>
    <col width="38" customWidth="1" min="7" max="7"/>
    <col width="2" customWidth="1" min="8" max="8"/>
  </cols>
  <sheetData>
    <row r="1" ht="10" customHeight="1">
      <c r="A1" s="1" t="n"/>
      <c r="B1" s="1" t="n"/>
      <c r="C1" s="1" t="n"/>
      <c r="D1" s="1" t="n"/>
      <c r="E1" s="1" t="n"/>
      <c r="F1" s="1" t="n"/>
      <c r="G1" s="1" t="n"/>
      <c r="H1" s="1" t="n"/>
    </row>
    <row r="2" ht="10" customHeight="1">
      <c r="A2" s="1" t="n"/>
      <c r="B2" s="2" t="n"/>
      <c r="C2" s="2" t="n"/>
      <c r="D2" s="2" t="n"/>
      <c r="E2" s="2" t="n"/>
      <c r="F2" s="2" t="n"/>
      <c r="G2" s="2" t="n"/>
      <c r="H2" s="1" t="n"/>
    </row>
    <row r="3" ht="22" customHeight="1">
      <c r="A3" s="1" t="n"/>
      <c r="B3" s="3" t="inlineStr">
        <is>
          <t>LOGOTIPO DE LA INSTITUCIÓN
(Insertar › Imágenes y colocarlo aquí)</t>
        </is>
      </c>
      <c r="C3" s="4" t="n"/>
      <c r="D3" s="5" t="inlineStr">
        <is>
          <t>PROYECTO INTEGRADOR · ETAPA 2</t>
        </is>
      </c>
      <c r="H3" s="1" t="n"/>
    </row>
    <row r="4" ht="38" customHeight="1">
      <c r="A4" s="1" t="n"/>
      <c r="B4" s="4" t="n"/>
      <c r="C4" s="4" t="n"/>
      <c r="D4" s="6" t="inlineStr">
        <is>
          <t>Tablero de control de mi plan de carrera</t>
        </is>
      </c>
      <c r="H4" s="1" t="n"/>
    </row>
    <row r="5" ht="24" customHeight="1">
      <c r="A5" s="1" t="n"/>
      <c r="B5" s="4" t="n"/>
      <c r="C5" s="4" t="n"/>
      <c r="D5" s="7" t="inlineStr">
        <is>
          <t>Seguimiento de metas, objetivos, indicadores de desempeño y KPI</t>
        </is>
      </c>
      <c r="H5" s="1" t="n"/>
    </row>
    <row r="6" ht="10" customHeight="1">
      <c r="A6" s="1" t="n"/>
      <c r="B6" s="2" t="n"/>
      <c r="C6" s="2" t="n"/>
      <c r="D6" s="2" t="n"/>
      <c r="E6" s="2" t="n"/>
      <c r="F6" s="2" t="n"/>
      <c r="G6" s="2" t="n"/>
      <c r="H6" s="1" t="n"/>
    </row>
    <row r="7" ht="12" customHeight="1">
      <c r="A7" s="1" t="n"/>
      <c r="B7" s="1" t="n"/>
      <c r="C7" s="1" t="n"/>
      <c r="D7" s="1" t="n"/>
      <c r="E7" s="1" t="n"/>
      <c r="F7" s="1" t="n"/>
      <c r="G7" s="1" t="n"/>
      <c r="H7" s="1" t="n"/>
    </row>
    <row r="8" ht="22" customHeight="1">
      <c r="A8" s="1" t="n"/>
      <c r="B8" s="8" t="inlineStr">
        <is>
          <t>Estudiante</t>
        </is>
      </c>
      <c r="C8" s="9" t="inlineStr">
        <is>
          <t>Valeria Ochoa</t>
        </is>
      </c>
      <c r="D8" s="10" t="n"/>
      <c r="E8" s="11" t="inlineStr">
        <is>
          <t>Carrera</t>
        </is>
      </c>
      <c r="F8" s="12" t="inlineStr">
        <is>
          <t>(escribe aquí tu carrera)</t>
        </is>
      </c>
      <c r="G8" s="13" t="n"/>
      <c r="H8" s="1" t="n"/>
    </row>
    <row r="9" ht="22" customHeight="1">
      <c r="A9" s="1" t="n"/>
      <c r="B9" s="14" t="inlineStr">
        <is>
          <t>ID</t>
        </is>
      </c>
      <c r="C9" s="15" t="inlineStr">
        <is>
          <t>5277522</t>
        </is>
      </c>
      <c r="D9" s="16" t="n"/>
      <c r="E9" s="17" t="inlineStr">
        <is>
          <t>Materia</t>
        </is>
      </c>
      <c r="F9" s="18" t="inlineStr">
        <is>
          <t>(escribe aquí el nombre de la materia)</t>
        </is>
      </c>
      <c r="G9" s="19" t="n"/>
      <c r="H9" s="1" t="n"/>
    </row>
    <row r="10" ht="22" customHeight="1">
      <c r="A10" s="1" t="n"/>
      <c r="B10" s="14" t="inlineStr">
        <is>
          <t>Institución</t>
        </is>
      </c>
      <c r="C10" s="15" t="inlineStr">
        <is>
          <t>Universidad Autónoma de Guadalajara</t>
        </is>
      </c>
      <c r="D10" s="16" t="n"/>
      <c r="E10" s="17" t="inlineStr">
        <is>
          <t>Docente</t>
        </is>
      </c>
      <c r="F10" s="18" t="inlineStr">
        <is>
          <t>(escribe aquí el nombre del docente)</t>
        </is>
      </c>
      <c r="G10" s="19" t="n"/>
      <c r="H10" s="1" t="n"/>
    </row>
    <row r="11" ht="22" customHeight="1">
      <c r="A11" s="1" t="n"/>
      <c r="B11" s="20" t="inlineStr">
        <is>
          <t>Actividad</t>
        </is>
      </c>
      <c r="C11" s="21" t="inlineStr">
        <is>
          <t>Proyecto integrador · Etapa 2</t>
        </is>
      </c>
      <c r="D11" s="22" t="n"/>
      <c r="E11" s="23" t="inlineStr">
        <is>
          <t>Fecha de entrega</t>
        </is>
      </c>
      <c r="F11" s="24" t="n">
        <v>46320</v>
      </c>
      <c r="G11" s="25" t="n"/>
      <c r="H11" s="1" t="n"/>
    </row>
    <row r="12" ht="14" customHeight="1">
      <c r="A12" s="1" t="n"/>
      <c r="B12" s="1" t="n"/>
      <c r="C12" s="1" t="n"/>
      <c r="D12" s="1" t="n"/>
      <c r="E12" s="1" t="n"/>
      <c r="F12" s="1" t="n"/>
      <c r="G12" s="1" t="n"/>
      <c r="H12" s="1" t="n"/>
    </row>
    <row r="13" ht="24" customHeight="1">
      <c r="A13" s="1" t="n"/>
      <c r="B13" s="26" t="inlineStr">
        <is>
          <t>MI PLAN DE CARRERA: META, OBJETIVOS, ACTIVIDADES, INDICADORES Y KPI</t>
        </is>
      </c>
      <c r="H13" s="1" t="n"/>
    </row>
    <row r="14" ht="20" customHeight="1">
      <c r="A14" s="1" t="n"/>
      <c r="B14" s="27" t="inlineStr">
        <is>
          <t>Es la tabla de la Etapa 1 con dos columnas nuevas (en verde azulado): un indicador de desempeño y un KPI por cada objetivo específico.</t>
        </is>
      </c>
      <c r="H14" s="1" t="n"/>
    </row>
    <row r="15" ht="36" customHeight="1">
      <c r="A15" s="1" t="n"/>
      <c r="B15" s="28" t="inlineStr">
        <is>
          <t>META</t>
        </is>
      </c>
      <c r="C15" s="28" t="inlineStr">
        <is>
          <t>OBJETIVO GENERAL</t>
        </is>
      </c>
      <c r="D15" s="28" t="inlineStr">
        <is>
          <t>OBJETIVOS ESPECÍFICOS</t>
        </is>
      </c>
      <c r="E15" s="28" t="inlineStr">
        <is>
          <t>ACTIVIDADES</t>
        </is>
      </c>
      <c r="F15" s="29" t="inlineStr">
        <is>
          <r>
            <rPr>
              <rFont val="Arial"/>
              <b val="1"/>
              <color rgb="00FFFFFF"/>
              <sz val="10"/>
            </rPr>
            <t>INDICADOR DE DESEMPEÑO</t>
          </r>
          <r>
            <rPr>
              <rFont val="Arial"/>
              <i val="1"/>
              <color rgb="00E6FFFA"/>
              <sz val="8.5"/>
            </rPr>
            <t xml:space="preserve">
Nuevo · Etapa 2</t>
          </r>
        </is>
      </c>
      <c r="G15" s="30" t="inlineStr">
        <is>
          <r>
            <rPr>
              <rFont val="Arial"/>
              <b val="1"/>
              <color rgb="00FFFFFF"/>
              <sz val="10"/>
            </rPr>
            <t>KPI (INDICADOR CLAVE)</t>
          </r>
          <r>
            <rPr>
              <rFont val="Arial"/>
              <i val="1"/>
              <color rgb="00E6FFFA"/>
              <sz val="8.5"/>
            </rPr>
            <t xml:space="preserve">
Nuevo · Etapa 2</t>
          </r>
        </is>
      </c>
      <c r="H15" s="1" t="n"/>
    </row>
    <row r="16" ht="44" customHeight="1">
      <c r="A16" s="1" t="n"/>
      <c r="B16" s="31" t="inlineStr">
        <is>
          <t>Concluir mi carrera y prepararme para oportunidades laborales.</t>
        </is>
      </c>
      <c r="C16" s="32" t="inlineStr">
        <is>
          <t>Mejorar mi rendimiento y mis competencias en 12 meses mediante planificación y hábitos sostenibles.</t>
        </is>
      </c>
      <c r="D16" s="33" t="inlineStr">
        <is>
          <r>
            <rPr>
              <rFont val="Arial"/>
              <b val="1"/>
              <color rgb="001FA595"/>
              <sz val="8.5"/>
            </rPr>
            <t xml:space="preserve">OBJETIVO 1
</t>
          </r>
          <r>
            <rPr>
              <rFont val="Arial"/>
              <b val="1"/>
              <color rgb="000F2342"/>
              <sz val="10.5"/>
            </rPr>
            <t>Organizar y cumplir un horario semanal de estudio en 3 meses.</t>
          </r>
          <r>
            <rPr>
              <rFont val="Arial"/>
              <i val="1"/>
              <color rgb="005B6B80"/>
              <sz val="9"/>
            </rPr>
            <t xml:space="preserve">
Plazo: semanal, durante 3 meses</t>
          </r>
        </is>
      </c>
      <c r="E16" s="34" t="inlineStr">
        <is>
          <t>1.1  Crear un calendario semanal con clases, entregas y tiempo de estudio.</t>
        </is>
      </c>
      <c r="F16" s="35" t="inlineStr">
        <is>
          <r>
            <rPr>
              <rFont val="Arial"/>
              <b val="1"/>
              <color rgb="000F2342"/>
              <sz val="10"/>
            </rPr>
            <t xml:space="preserve">Constancia en el estudio
</t>
          </r>
          <r>
            <rPr>
              <rFont val="Arial"/>
              <color rgb="001B2B44"/>
              <sz val="9.5"/>
            </rPr>
            <t xml:space="preserve">Días a la semana en los que hago al menos un bloque de estudio de 45–60 min.
</t>
          </r>
          <r>
            <rPr>
              <rFont val="Arial"/>
              <b val="1"/>
              <color rgb="001FA595"/>
              <sz val="9.5"/>
            </rPr>
            <t xml:space="preserve">Meta: 5 días por semana
</t>
          </r>
          <r>
            <rPr>
              <rFont val="Arial"/>
              <i val="1"/>
              <color rgb="005B6B80"/>
              <sz val="8.5"/>
            </rPr>
            <t>Se registra: cada semana, en la revisión del domingo</t>
          </r>
        </is>
      </c>
      <c r="G16" s="36" t="inlineStr">
        <is>
          <r>
            <rPr>
              <rFont val="Arial"/>
              <b val="1"/>
              <color rgb="000F2342"/>
              <sz val="10"/>
            </rPr>
            <t xml:space="preserve">% de cumplimiento del horario
</t>
          </r>
          <r>
            <rPr>
              <rFont val="Arial"/>
              <b val="1"/>
              <color rgb="005B6B80"/>
              <sz val="9.5"/>
            </rPr>
            <t xml:space="preserve">Fórmula: </t>
          </r>
          <r>
            <rPr>
              <rFont val="Arial"/>
              <color rgb="001B2B44"/>
              <sz val="9.5"/>
            </rPr>
            <t xml:space="preserve">Bloques realizados ÷ bloques planificados × 100
</t>
          </r>
          <r>
            <rPr>
              <rFont val="Arial"/>
              <b val="1"/>
              <color rgb="001FA595"/>
              <sz val="9.5"/>
            </rPr>
            <t xml:space="preserve">Meta: ≥ 80 %
</t>
          </r>
          <r>
            <rPr>
              <rFont val="Arial"/>
              <b val="1"/>
              <color rgb="005B6B80"/>
              <sz val="8.5"/>
            </rPr>
            <t xml:space="preserve">Semáforo: </t>
          </r>
          <r>
            <rPr>
              <rFont val="Arial"/>
              <color rgb="001E9E5A"/>
              <sz val="10"/>
            </rPr>
            <t xml:space="preserve">● </t>
          </r>
          <r>
            <rPr>
              <rFont val="Arial"/>
              <color rgb="001B2B44"/>
              <sz val="8.5"/>
            </rPr>
            <t xml:space="preserve">≥ 80 %   </t>
          </r>
          <r>
            <rPr>
              <rFont val="Arial"/>
              <color rgb="00F2B705"/>
              <sz val="10"/>
            </rPr>
            <t xml:space="preserve">● </t>
          </r>
          <r>
            <rPr>
              <rFont val="Arial"/>
              <color rgb="001B2B44"/>
              <sz val="8.5"/>
            </rPr>
            <t xml:space="preserve">60–79 %   </t>
          </r>
          <r>
            <rPr>
              <rFont val="Arial"/>
              <color rgb="00D93F3F"/>
              <sz val="10"/>
            </rPr>
            <t xml:space="preserve">● </t>
          </r>
          <r>
            <rPr>
              <rFont val="Arial"/>
              <color rgb="001B2B44"/>
              <sz val="8.5"/>
            </rPr>
            <t>&lt; 60 %</t>
          </r>
        </is>
      </c>
      <c r="H16" s="1" t="n"/>
    </row>
    <row r="17" ht="44" customHeight="1">
      <c r="A17" s="1" t="n"/>
      <c r="B17" s="37" t="n"/>
      <c r="C17" s="38" t="n"/>
      <c r="D17" s="39" t="n"/>
      <c r="E17" s="34" t="inlineStr">
        <is>
          <t>1.2  Estudiar al menos 5 días por semana en bloques de 45–60 minutos.</t>
        </is>
      </c>
      <c r="F17" s="40" t="n"/>
      <c r="G17" s="41" t="n"/>
      <c r="H17" s="1" t="n"/>
    </row>
    <row r="18" ht="44" customHeight="1">
      <c r="A18" s="1" t="n"/>
      <c r="B18" s="37" t="n"/>
      <c r="C18" s="38" t="n"/>
      <c r="D18" s="42" t="n"/>
      <c r="E18" s="43" t="inlineStr">
        <is>
          <t>1.3  Revisar cada domingo las tareas completadas y ajustar el horario.</t>
        </is>
      </c>
      <c r="F18" s="44" t="n"/>
      <c r="G18" s="45" t="n"/>
      <c r="H18" s="1" t="n"/>
    </row>
    <row r="19" ht="44" customHeight="1">
      <c r="A19" s="1" t="n"/>
      <c r="B19" s="37" t="n"/>
      <c r="C19" s="38" t="n"/>
      <c r="D19" s="46" t="inlineStr">
        <is>
          <r>
            <rPr>
              <rFont val="Arial"/>
              <b val="1"/>
              <color rgb="001FA595"/>
              <sz val="8.5"/>
            </rPr>
            <t xml:space="preserve">OBJETIVO 2
</t>
          </r>
          <r>
            <rPr>
              <rFont val="Arial"/>
              <b val="1"/>
              <color rgb="000F2342"/>
              <sz val="10.5"/>
            </rPr>
            <t>Mejorar mi desempeño académico en las asignaturas del semestre.</t>
          </r>
          <r>
            <rPr>
              <rFont val="Arial"/>
              <i val="1"/>
              <color rgb="005B6B80"/>
              <sz val="9"/>
            </rPr>
            <t xml:space="preserve">
Plazo: semestral</t>
          </r>
        </is>
      </c>
      <c r="E19" s="47" t="inlineStr">
        <is>
          <t>2.1  Identificar al inicio del mes las asignaturas y temas que me resultan más difíciles.</t>
        </is>
      </c>
      <c r="F19" s="35" t="inlineStr">
        <is>
          <r>
            <rPr>
              <rFont val="Arial"/>
              <b val="1"/>
              <color rgb="000F2342"/>
              <sz val="10"/>
            </rPr>
            <t xml:space="preserve">Evolución de mis calificaciones
</t>
          </r>
          <r>
            <rPr>
              <rFont val="Arial"/>
              <color rgb="001B2B44"/>
              <sz val="9.5"/>
            </rPr>
            <t xml:space="preserve">Promedio por asignatura en cada evaluación (parcial 1, parcial 2 y final) y su variación entre parciales.
</t>
          </r>
          <r>
            <rPr>
              <rFont val="Arial"/>
              <b val="1"/>
              <color rgb="001FA595"/>
              <sz val="9.5"/>
            </rPr>
            <t xml:space="preserve">Meta: promedio general ≥ 8.5 y variación positiva
</t>
          </r>
          <r>
            <rPr>
              <rFont val="Arial"/>
              <i val="1"/>
              <color rgb="005B6B80"/>
              <sz val="8.5"/>
            </rPr>
            <t>Se registra: después de cada evaluación</t>
          </r>
        </is>
      </c>
      <c r="G19" s="36" t="inlineStr">
        <is>
          <r>
            <rPr>
              <rFont val="Arial"/>
              <b val="1"/>
              <color rgb="000F2342"/>
              <sz val="10"/>
            </rPr>
            <t xml:space="preserve">% de tareas entregadas a tiempo
</t>
          </r>
          <r>
            <rPr>
              <rFont val="Arial"/>
              <b val="1"/>
              <color rgb="005B6B80"/>
              <sz val="9.5"/>
            </rPr>
            <t xml:space="preserve">Fórmula: </t>
          </r>
          <r>
            <rPr>
              <rFont val="Arial"/>
              <color rgb="001B2B44"/>
              <sz val="9.5"/>
            </rPr>
            <t xml:space="preserve">Tareas entregadas en fecha ÷ tareas asignadas × 100
</t>
          </r>
          <r>
            <rPr>
              <rFont val="Arial"/>
              <b val="1"/>
              <color rgb="001FA595"/>
              <sz val="9.5"/>
            </rPr>
            <t xml:space="preserve">Meta: ≥ 90 %
</t>
          </r>
          <r>
            <rPr>
              <rFont val="Arial"/>
              <b val="1"/>
              <color rgb="005B6B80"/>
              <sz val="8.5"/>
            </rPr>
            <t xml:space="preserve">Semáforo: </t>
          </r>
          <r>
            <rPr>
              <rFont val="Arial"/>
              <color rgb="001E9E5A"/>
              <sz val="10"/>
            </rPr>
            <t xml:space="preserve">● </t>
          </r>
          <r>
            <rPr>
              <rFont val="Arial"/>
              <color rgb="001B2B44"/>
              <sz val="8.5"/>
            </rPr>
            <t xml:space="preserve">≥ 90 %   </t>
          </r>
          <r>
            <rPr>
              <rFont val="Arial"/>
              <color rgb="00F2B705"/>
              <sz val="10"/>
            </rPr>
            <t xml:space="preserve">● </t>
          </r>
          <r>
            <rPr>
              <rFont val="Arial"/>
              <color rgb="001B2B44"/>
              <sz val="8.5"/>
            </rPr>
            <t xml:space="preserve">75–89 %   </t>
          </r>
          <r>
            <rPr>
              <rFont val="Arial"/>
              <color rgb="00D93F3F"/>
              <sz val="10"/>
            </rPr>
            <t xml:space="preserve">● </t>
          </r>
          <r>
            <rPr>
              <rFont val="Arial"/>
              <color rgb="001B2B44"/>
              <sz val="8.5"/>
            </rPr>
            <t>&lt; 75 %</t>
          </r>
        </is>
      </c>
      <c r="H19" s="1" t="n"/>
    </row>
    <row r="20" ht="44" customHeight="1">
      <c r="A20" s="1" t="n"/>
      <c r="B20" s="37" t="n"/>
      <c r="C20" s="38" t="n"/>
      <c r="D20" s="48" t="n"/>
      <c r="E20" s="47" t="inlineStr">
        <is>
          <t>2.2  Realizar ejercicios o preguntas de repaso al menos dos veces por semana por asignatura prioritaria.</t>
        </is>
      </c>
      <c r="F20" s="40" t="n"/>
      <c r="G20" s="41" t="n"/>
      <c r="H20" s="1" t="n"/>
    </row>
    <row r="21" ht="44" customHeight="1">
      <c r="A21" s="1" t="n"/>
      <c r="B21" s="37" t="n"/>
      <c r="C21" s="38" t="n"/>
      <c r="D21" s="49" t="n"/>
      <c r="E21" s="50" t="inlineStr">
        <is>
          <t>2.3  Consultar al docente o a un compañero cuando una duda continúe después de estudiar.</t>
        </is>
      </c>
      <c r="F21" s="44" t="n"/>
      <c r="G21" s="45" t="n"/>
      <c r="H21" s="1" t="n"/>
    </row>
    <row r="22" ht="44" customHeight="1">
      <c r="A22" s="1" t="n"/>
      <c r="B22" s="37" t="n"/>
      <c r="C22" s="38" t="n"/>
      <c r="D22" s="33" t="inlineStr">
        <is>
          <r>
            <rPr>
              <rFont val="Arial"/>
              <b val="1"/>
              <color rgb="001FA595"/>
              <sz val="8.5"/>
            </rPr>
            <t xml:space="preserve">OBJETIVO 3
</t>
          </r>
          <r>
            <rPr>
              <rFont val="Arial"/>
              <b val="1"/>
              <color rgb="000F2342"/>
              <sz val="10.5"/>
            </rPr>
            <t>Desarrollar competencias útiles para mi futuro profesional durante los próximos 12 meses.</t>
          </r>
          <r>
            <rPr>
              <rFont val="Arial"/>
              <i val="1"/>
              <color rgb="005B6B80"/>
              <sz val="9"/>
            </rPr>
            <t xml:space="preserve">
Plazo: 6 a 12 meses</t>
          </r>
        </is>
      </c>
      <c r="E22" s="34" t="inlineStr">
        <is>
          <t>3.1  Completar al menos un curso, taller o capacitación relacionada con mi carrera.</t>
        </is>
      </c>
      <c r="F22" s="35" t="inlineStr">
        <is>
          <r>
            <rPr>
              <rFont val="Arial"/>
              <b val="1"/>
              <color rgb="000F2342"/>
              <sz val="10"/>
            </rPr>
            <t xml:space="preserve">Acciones de desarrollo profesional
</t>
          </r>
          <r>
            <rPr>
              <rFont val="Arial"/>
              <color rgb="001B2B44"/>
              <sz val="9.5"/>
            </rPr>
            <t xml:space="preserve">Cursos completados, currículum actualizado (sí / no) y charlas o eventos a los que asistí.
</t>
          </r>
          <r>
            <rPr>
              <rFont val="Arial"/>
              <b val="1"/>
              <color rgb="001FA595"/>
              <sz val="9.5"/>
            </rPr>
            <t xml:space="preserve">Meta: 1 curso, CV actualizado y 2 eventos
</t>
          </r>
          <r>
            <rPr>
              <rFont val="Arial"/>
              <i val="1"/>
              <color rgb="005B6B80"/>
              <sz val="8.5"/>
            </rPr>
            <t>Se registra: cada mes</t>
          </r>
        </is>
      </c>
      <c r="G22" s="36" t="inlineStr">
        <is>
          <r>
            <rPr>
              <rFont val="Arial"/>
              <b val="1"/>
              <color rgb="000F2342"/>
              <sz val="10"/>
            </rPr>
            <t xml:space="preserve">% de avance del plan profesional
</t>
          </r>
          <r>
            <rPr>
              <rFont val="Arial"/>
              <b val="1"/>
              <color rgb="005B6B80"/>
              <sz val="9.5"/>
            </rPr>
            <t xml:space="preserve">Fórmula: </t>
          </r>
          <r>
            <rPr>
              <rFont val="Arial"/>
              <color rgb="001B2B44"/>
              <sz val="9.5"/>
            </rPr>
            <t xml:space="preserve">Promedio del avance de los 6 hitos del plan, comparado con el avance esperado a la fecha
</t>
          </r>
          <r>
            <rPr>
              <rFont val="Arial"/>
              <b val="1"/>
              <color rgb="001FA595"/>
              <sz val="9.5"/>
            </rPr>
            <t xml:space="preserve">Meta: 100 % a los 12 meses
</t>
          </r>
          <r>
            <rPr>
              <rFont val="Arial"/>
              <b val="1"/>
              <color rgb="005B6B80"/>
              <sz val="8.5"/>
            </rPr>
            <t xml:space="preserve">Semáforo: </t>
          </r>
          <r>
            <rPr>
              <rFont val="Arial"/>
              <color rgb="001E9E5A"/>
              <sz val="10"/>
            </rPr>
            <t xml:space="preserve">● </t>
          </r>
          <r>
            <rPr>
              <rFont val="Arial"/>
              <color rgb="001B2B44"/>
              <sz val="8.5"/>
            </rPr>
            <t xml:space="preserve">al día o adelantado   </t>
          </r>
          <r>
            <rPr>
              <rFont val="Arial"/>
              <color rgb="00F2B705"/>
              <sz val="10"/>
            </rPr>
            <t xml:space="preserve">● </t>
          </r>
          <r>
            <rPr>
              <rFont val="Arial"/>
              <color rgb="001B2B44"/>
              <sz val="8.5"/>
            </rPr>
            <t xml:space="preserve">≥ 70 % de lo esperado   </t>
          </r>
          <r>
            <rPr>
              <rFont val="Arial"/>
              <color rgb="00D93F3F"/>
              <sz val="10"/>
            </rPr>
            <t xml:space="preserve">● </t>
          </r>
          <r>
            <rPr>
              <rFont val="Arial"/>
              <color rgb="001B2B44"/>
              <sz val="8.5"/>
            </rPr>
            <t>&lt; 70 % de lo esperado</t>
          </r>
        </is>
      </c>
      <c r="H22" s="1" t="n"/>
    </row>
    <row r="23" ht="44" customHeight="1">
      <c r="A23" s="1" t="n"/>
      <c r="B23" s="37" t="n"/>
      <c r="C23" s="38" t="n"/>
      <c r="D23" s="39" t="n"/>
      <c r="E23" s="34" t="inlineStr">
        <is>
          <t>3.2  Actualizar mi currículum con los estudios, proyectos y habilidades adquiridas.</t>
        </is>
      </c>
      <c r="F23" s="40" t="n"/>
      <c r="G23" s="41" t="n"/>
      <c r="H23" s="1" t="n"/>
    </row>
    <row r="24" ht="44" customHeight="1">
      <c r="A24" s="1" t="n"/>
      <c r="B24" s="37" t="n"/>
      <c r="C24" s="38" t="n"/>
      <c r="D24" s="39" t="n"/>
      <c r="E24" s="34" t="inlineStr">
        <is>
          <t>3.3  Participar en al menos dos charlas, eventos académicos o actividades de contacto profesional.</t>
        </is>
      </c>
      <c r="F24" s="51" t="n"/>
      <c r="G24" s="52" t="n"/>
      <c r="H24" s="1" t="n"/>
    </row>
    <row r="25" ht="12" customHeight="1">
      <c r="A25" s="1" t="n"/>
      <c r="B25" s="1" t="n"/>
      <c r="C25" s="1" t="n"/>
      <c r="D25" s="1" t="n"/>
      <c r="E25" s="1" t="n"/>
      <c r="F25" s="1" t="n"/>
      <c r="G25" s="1" t="n"/>
      <c r="H25" s="1" t="n"/>
    </row>
    <row r="26" ht="24" customHeight="1">
      <c r="A26" s="1" t="n"/>
      <c r="B26" s="53" t="inlineStr">
        <is>
          <r>
            <rPr>
              <rFont val="Arial"/>
              <b val="1"/>
              <color rgb="000F2342"/>
              <sz val="9.5"/>
            </rPr>
            <t xml:space="preserve">¿Qué diferencia hay entre las dos columnas nuevas? </t>
          </r>
          <r>
            <rPr>
              <rFont val="Arial"/>
              <color rgb="001B2B44"/>
              <sz val="9.5"/>
            </rPr>
            <t>El indicador de desempeño mide cómo voy con las actividades del día a día (por ejemplo, cuántos días estudié en la semana). El KPI es el resultado clave de cada objetivo: tiene una fórmula, una meta y un semáforo que me avisa a tiempo si voy bien, en riesgo o con bajo rendimiento (Parmenter, 2015). Los valores actuales de cada indicador se ven en la hoja TABLERO DE CONTROL.</t>
          </r>
        </is>
      </c>
      <c r="C26" s="54" t="n"/>
      <c r="D26" s="54" t="n"/>
      <c r="E26" s="54" t="n"/>
      <c r="F26" s="54" t="n"/>
      <c r="G26" s="55" t="n"/>
      <c r="H26" s="1" t="n"/>
    </row>
    <row r="27" ht="24" customHeight="1">
      <c r="A27" s="1" t="n"/>
      <c r="B27" s="56" t="n"/>
      <c r="C27" s="57" t="n"/>
      <c r="D27" s="57" t="n"/>
      <c r="E27" s="57" t="n"/>
      <c r="F27" s="57" t="n"/>
      <c r="G27" s="58"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sheetData>
  <mergeCells count="26">
    <mergeCell ref="F22:F24"/>
    <mergeCell ref="F11:G11"/>
    <mergeCell ref="D3:G3"/>
    <mergeCell ref="F10:G10"/>
    <mergeCell ref="B14:G14"/>
    <mergeCell ref="B3:C5"/>
    <mergeCell ref="B13:G13"/>
    <mergeCell ref="D5:G5"/>
    <mergeCell ref="G22:G24"/>
    <mergeCell ref="C10:D10"/>
    <mergeCell ref="B26:G27"/>
    <mergeCell ref="G16:G18"/>
    <mergeCell ref="D19:D21"/>
    <mergeCell ref="C9:D9"/>
    <mergeCell ref="F19:F21"/>
    <mergeCell ref="F8:G8"/>
    <mergeCell ref="D22:D24"/>
    <mergeCell ref="C11:D11"/>
    <mergeCell ref="F16:F18"/>
    <mergeCell ref="B16:B24"/>
    <mergeCell ref="F9:G9"/>
    <mergeCell ref="C8:D8"/>
    <mergeCell ref="G19:G21"/>
    <mergeCell ref="D16:D18"/>
    <mergeCell ref="C16:C24"/>
    <mergeCell ref="D4:G4"/>
  </mergeCells>
  <printOptions horizontalCentered="1"/>
  <pageMargins left="0.4" right="0.4" top="0.5" bottom="0.5" header="0.5" footer="0.5"/>
  <pageSetup orientation="landscape" paperSize="1" fitToHeight="0" fitToWidth="1"/>
</worksheet>
</file>

<file path=xl/worksheets/sheet2.xml><?xml version="1.0" encoding="utf-8"?>
<worksheet xmlns="http://schemas.openxmlformats.org/spreadsheetml/2006/main">
  <sheetPr>
    <tabColor rgb="001FA595"/>
    <outlinePr summaryBelow="1" summaryRight="1"/>
    <pageSetUpPr fitToPage="1"/>
  </sheetPr>
  <dimension ref="A1:R74"/>
  <sheetViews>
    <sheetView showGridLines="0" workbookViewId="0">
      <selection activeCell="A1" sqref="A1"/>
    </sheetView>
  </sheetViews>
  <sheetFormatPr baseColWidth="8" defaultRowHeight="15"/>
  <cols>
    <col width="2" customWidth="1" min="1" max="1"/>
    <col width="10.3" customWidth="1" min="2" max="2"/>
    <col width="10.3" customWidth="1" min="3" max="3"/>
    <col width="10.3" customWidth="1" min="4" max="4"/>
    <col width="10.3" customWidth="1" min="5" max="5"/>
    <col width="10.3" customWidth="1" min="6" max="6"/>
    <col width="10.3" customWidth="1" min="7" max="7"/>
    <col width="10.3" customWidth="1" min="8" max="8"/>
    <col width="10.3" customWidth="1" min="9" max="9"/>
    <col width="10.3" customWidth="1" min="10" max="10"/>
    <col width="10.3" customWidth="1" min="11" max="11"/>
    <col width="10.3" customWidth="1" min="12" max="12"/>
    <col width="10.3" customWidth="1" min="13" max="13"/>
    <col width="10.3" customWidth="1" min="14" max="14"/>
    <col width="10.3" customWidth="1" min="15" max="15"/>
    <col width="10.3" customWidth="1" min="16" max="16"/>
    <col width="10.3" customWidth="1" min="17" max="17"/>
    <col width="2"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36" customHeight="1">
      <c r="A2" s="1" t="n"/>
      <c r="B2" s="59" t="inlineStr">
        <is>
          <t>TABLERO DE CONTROL · MI RENDIMIENTO ACADÉMICO</t>
        </is>
      </c>
      <c r="C2" s="2" t="n"/>
      <c r="D2" s="2" t="n"/>
      <c r="E2" s="2" t="n"/>
      <c r="F2" s="2" t="n"/>
      <c r="G2" s="2" t="n"/>
      <c r="H2" s="2" t="n"/>
      <c r="I2" s="2" t="n"/>
      <c r="J2" s="2" t="n"/>
      <c r="K2" s="2" t="n"/>
      <c r="L2" s="2" t="n"/>
      <c r="M2" s="2" t="n"/>
      <c r="N2" s="2" t="n"/>
      <c r="O2" s="2" t="n"/>
      <c r="P2" s="2" t="n"/>
      <c r="Q2" s="2" t="n"/>
      <c r="R2" s="1" t="n"/>
    </row>
    <row r="3" ht="22" customHeight="1">
      <c r="A3" s="1" t="n"/>
      <c r="B3" s="60" t="inlineStr">
        <is>
          <t>Valeria Ochoa · ID 5277522 · Proyecto integrador, Etapa 2 · Plan de carrera</t>
        </is>
      </c>
      <c r="C3" s="61" t="n"/>
      <c r="D3" s="61" t="n"/>
      <c r="E3" s="61" t="n"/>
      <c r="F3" s="61" t="n"/>
      <c r="G3" s="61" t="n"/>
      <c r="H3" s="61" t="n"/>
      <c r="I3" s="61" t="n"/>
      <c r="J3" s="61" t="n"/>
      <c r="K3" s="62" t="inlineStr">
        <is>
          <t>Corte al:</t>
        </is>
      </c>
      <c r="L3" s="61" t="n"/>
      <c r="M3" s="63">
        <f>REGISTRO!C5</f>
        <v>46320.0</v>
      </c>
      <c r="N3" s="61" t="n"/>
      <c r="O3" s="64" t="str">
        <f>COUNT(REGISTRO!E20:E31)&amp;" de 12 semanas registradas"</f>
        <v>8 de 12 semanas registradas</v>
      </c>
      <c r="P3" s="61" t="n"/>
      <c r="Q3" s="61" t="n"/>
      <c r="R3" s="1" t="n"/>
    </row>
    <row r="4" ht="10" customHeight="1">
      <c r="A4" s="1" t="n"/>
      <c r="B4" s="1" t="n"/>
      <c r="C4" s="1" t="n"/>
      <c r="D4" s="1" t="n"/>
      <c r="E4" s="1" t="n"/>
      <c r="F4" s="1" t="n"/>
      <c r="G4" s="1" t="n"/>
      <c r="H4" s="1" t="n"/>
      <c r="I4" s="1" t="n"/>
      <c r="J4" s="1" t="n"/>
      <c r="K4" s="1" t="n"/>
      <c r="L4" s="1" t="n"/>
      <c r="M4" s="1" t="n"/>
      <c r="N4" s="1" t="n"/>
      <c r="O4" s="1" t="n"/>
      <c r="P4" s="1" t="n"/>
      <c r="Q4" s="1" t="n"/>
      <c r="R4" s="1" t="n"/>
    </row>
    <row r="5" ht="20" customHeight="1">
      <c r="A5" s="1" t="n"/>
      <c r="B5" s="65" t="inlineStr">
        <is>
          <t>INDICADORES CLAVE (KPI) · un vistazo al estado de cada objetivo</t>
        </is>
      </c>
      <c r="R5" s="1" t="n"/>
    </row>
    <row r="6" ht="20" customHeight="1">
      <c r="A6" s="1" t="n"/>
      <c r="B6" s="66" t="inlineStr">
        <is>
          <t>OBJ. 1 · CUMPLIMIENTO DEL HORARIO</t>
        </is>
      </c>
      <c r="C6" s="10" t="n"/>
      <c r="D6" s="10" t="n"/>
      <c r="E6" s="67" t="n"/>
      <c r="F6" s="66" t="inlineStr">
        <is>
          <t>OBJ. 2 · TAREAS ENTREGADAS A TIEMPO</t>
        </is>
      </c>
      <c r="G6" s="10" t="n"/>
      <c r="H6" s="10" t="n"/>
      <c r="I6" s="67" t="n"/>
      <c r="J6" s="66" t="inlineStr">
        <is>
          <t>OBJ. 2 · PROMEDIO GENERAL</t>
        </is>
      </c>
      <c r="K6" s="10" t="n"/>
      <c r="L6" s="10" t="n"/>
      <c r="M6" s="67" t="n"/>
      <c r="N6" s="66" t="inlineStr">
        <is>
          <t>OBJ. 3 · AVANCE DEL PLAN PROFESIONAL</t>
        </is>
      </c>
      <c r="O6" s="10" t="n"/>
      <c r="P6" s="10" t="n"/>
      <c r="Q6" s="67" t="n"/>
      <c r="R6" s="1" t="n"/>
    </row>
    <row r="7" ht="24" customHeight="1">
      <c r="A7" s="1" t="n"/>
      <c r="B7" s="68">
        <f>'CÁLCULOS'!C5</f>
        <v>0.8125</v>
      </c>
      <c r="C7" s="16" t="n"/>
      <c r="D7" s="16" t="n"/>
      <c r="E7" s="69" t="inlineStr">
        <is>
          <t>●</t>
        </is>
      </c>
      <c r="F7" s="68">
        <f>'CÁLCULOS'!C7</f>
        <v>0.85</v>
      </c>
      <c r="G7" s="16" t="n"/>
      <c r="H7" s="16" t="n"/>
      <c r="I7" s="69" t="inlineStr">
        <is>
          <t>●</t>
        </is>
      </c>
      <c r="J7" s="70">
        <f>'CÁLCULOS'!C8</f>
        <v>8.43</v>
      </c>
      <c r="K7" s="16" t="n"/>
      <c r="L7" s="16" t="n"/>
      <c r="M7" s="69" t="inlineStr">
        <is>
          <t>●</t>
        </is>
      </c>
      <c r="N7" s="68">
        <f>'CÁLCULOS'!C9</f>
        <v>0.3</v>
      </c>
      <c r="O7" s="16" t="n"/>
      <c r="P7" s="16" t="n"/>
      <c r="Q7" s="69" t="inlineStr">
        <is>
          <t>●</t>
        </is>
      </c>
      <c r="R7" s="1" t="n"/>
    </row>
    <row r="8" ht="24" customHeight="1">
      <c r="A8" s="1" t="n"/>
      <c r="B8" s="71" t="n"/>
      <c r="C8" s="16" t="n"/>
      <c r="D8" s="16" t="n"/>
      <c r="E8" s="72" t="n"/>
      <c r="F8" s="71" t="n"/>
      <c r="G8" s="16" t="n"/>
      <c r="H8" s="16" t="n"/>
      <c r="I8" s="72" t="n"/>
      <c r="J8" s="71" t="n"/>
      <c r="K8" s="16" t="n"/>
      <c r="L8" s="16" t="n"/>
      <c r="M8" s="72" t="n"/>
      <c r="N8" s="71" t="n"/>
      <c r="O8" s="16" t="n"/>
      <c r="P8" s="16" t="n"/>
      <c r="Q8" s="72" t="n"/>
      <c r="R8" s="1" t="n"/>
    </row>
    <row r="9" ht="17" customHeight="1">
      <c r="A9" s="1" t="n"/>
      <c r="B9" s="73">
        <f>'CÁLCULOS'!D5</f>
        <v>0.8</v>
      </c>
      <c r="C9" s="16" t="n"/>
      <c r="D9" s="16" t="n"/>
      <c r="E9" s="72" t="n"/>
      <c r="F9" s="73">
        <f>'CÁLCULOS'!D7</f>
        <v>0.9</v>
      </c>
      <c r="G9" s="16" t="n"/>
      <c r="H9" s="16" t="n"/>
      <c r="I9" s="72" t="n"/>
      <c r="J9" s="74">
        <f>'CÁLCULOS'!D8</f>
        <v>8.5</v>
      </c>
      <c r="K9" s="16" t="n"/>
      <c r="L9" s="16" t="n"/>
      <c r="M9" s="72" t="n"/>
      <c r="N9" s="75">
        <f>'CÁLCULOS'!D9</f>
        <v>0.15</v>
      </c>
      <c r="O9" s="16" t="n"/>
      <c r="P9" s="16" t="n"/>
      <c r="Q9" s="72" t="n"/>
      <c r="R9" s="1" t="n"/>
    </row>
    <row r="10" ht="17" customHeight="1">
      <c r="A10" s="1" t="n"/>
      <c r="B10" s="76" t="str">
        <f>REPT("█",ROUND('CÁLCULOS'!H5*22,0))&amp;REPT("░",22-ROUND('CÁLCULOS'!H5*22,0))</f>
        <v>██████████████████████</v>
      </c>
      <c r="C10" s="16" t="n"/>
      <c r="D10" s="16" t="n"/>
      <c r="E10" s="72" t="n"/>
      <c r="F10" s="76" t="str">
        <f>REPT("█",ROUND('CÁLCULOS'!H7*22,0))&amp;REPT("░",22-ROUND('CÁLCULOS'!H7*22,0))</f>
        <v>█████████████████████░</v>
      </c>
      <c r="G10" s="16" t="n"/>
      <c r="H10" s="16" t="n"/>
      <c r="I10" s="72" t="n"/>
      <c r="J10" s="76" t="str">
        <f>REPT("█",ROUND('CÁLCULOS'!H8*22,0))&amp;REPT("░",22-ROUND('CÁLCULOS'!H8*22,0))</f>
        <v>██████████████████████</v>
      </c>
      <c r="K10" s="16" t="n"/>
      <c r="L10" s="16" t="n"/>
      <c r="M10" s="72" t="n"/>
      <c r="N10" s="76" t="str">
        <f>REPT("█",ROUND('CÁLCULOS'!H9*22,0))&amp;REPT("░",22-ROUND('CÁLCULOS'!H9*22,0))</f>
        <v>███████░░░░░░░░░░░░░░░</v>
      </c>
      <c r="O10" s="16" t="n"/>
      <c r="P10" s="16" t="n"/>
      <c r="Q10" s="72" t="n"/>
      <c r="R10" s="1" t="n"/>
    </row>
    <row r="11" ht="21" customHeight="1">
      <c r="A11" s="1" t="n"/>
      <c r="B11" s="77" t="str">
        <f>UPPER('CÁLCULOS'!G5)</f>
        <v>EN META</v>
      </c>
      <c r="C11" s="22" t="n"/>
      <c r="D11" s="22" t="n"/>
      <c r="E11" s="78" t="n"/>
      <c r="F11" s="77" t="str">
        <f>UPPER('CÁLCULOS'!G7)</f>
        <v>EN RIESGO</v>
      </c>
      <c r="G11" s="22" t="n"/>
      <c r="H11" s="22" t="n"/>
      <c r="I11" s="78" t="n"/>
      <c r="J11" s="77" t="str">
        <f>UPPER('CÁLCULOS'!G8)</f>
        <v>EN RIESGO</v>
      </c>
      <c r="K11" s="22" t="n"/>
      <c r="L11" s="22" t="n"/>
      <c r="M11" s="78" t="n"/>
      <c r="N11" s="77" t="str">
        <f>UPPER('CÁLCULOS'!G9)</f>
        <v>EN META</v>
      </c>
      <c r="O11" s="22" t="n"/>
      <c r="P11" s="22" t="n"/>
      <c r="Q11" s="78" t="n"/>
      <c r="R11" s="1" t="n"/>
    </row>
    <row r="12" ht="12" customHeight="1">
      <c r="A12" s="1" t="n"/>
      <c r="B12" s="1" t="n"/>
      <c r="C12" s="1" t="n"/>
      <c r="D12" s="1" t="n"/>
      <c r="E12" s="1" t="n"/>
      <c r="F12" s="1" t="n"/>
      <c r="G12" s="1" t="n"/>
      <c r="H12" s="1" t="n"/>
      <c r="I12" s="1" t="n"/>
      <c r="J12" s="1" t="n"/>
      <c r="K12" s="1" t="n"/>
      <c r="L12" s="1" t="n"/>
      <c r="M12" s="1" t="n"/>
      <c r="N12" s="1" t="n"/>
      <c r="O12" s="1" t="n"/>
      <c r="P12" s="1" t="n"/>
      <c r="Q12" s="1" t="n"/>
      <c r="R12" s="1" t="n"/>
    </row>
    <row r="13" ht="20" customHeight="1">
      <c r="A13" s="1" t="n"/>
      <c r="B13" s="79" t="inlineStr">
        <is>
          <t>OBJ. 1 · CUMPLIMIENTO SEMANAL DEL HORARIO (color según semáforo)</t>
        </is>
      </c>
      <c r="L13" s="79" t="inlineStr">
        <is>
          <t>OBJ. 2 · ESTADO DE MIS ENTREGAS</t>
        </is>
      </c>
      <c r="R13" s="1" t="n"/>
    </row>
    <row r="14" ht="15" customHeight="1">
      <c r="A14" s="1" t="n"/>
      <c r="B14" s="1" t="n"/>
      <c r="C14" s="1" t="n"/>
      <c r="D14" s="1" t="n"/>
      <c r="E14" s="1" t="n"/>
      <c r="F14" s="1" t="n"/>
      <c r="G14" s="1" t="n"/>
      <c r="H14" s="1" t="n"/>
      <c r="I14" s="1" t="n"/>
      <c r="J14" s="1" t="n"/>
      <c r="K14" s="1" t="n"/>
      <c r="L14" s="1" t="n"/>
      <c r="M14" s="1" t="n"/>
      <c r="N14" s="1" t="n"/>
      <c r="O14" s="1" t="n"/>
      <c r="P14" s="1" t="n"/>
      <c r="Q14" s="1" t="n"/>
      <c r="R14" s="1" t="n"/>
    </row>
    <row r="15" ht="15" customHeight="1">
      <c r="A15" s="1" t="n"/>
      <c r="B15" s="1" t="n"/>
      <c r="C15" s="1" t="n"/>
      <c r="D15" s="1" t="n"/>
      <c r="E15" s="1" t="n"/>
      <c r="F15" s="1" t="n"/>
      <c r="G15" s="1" t="n"/>
      <c r="H15" s="1" t="n"/>
      <c r="I15" s="1" t="n"/>
      <c r="J15" s="1" t="n"/>
      <c r="K15" s="1" t="n"/>
      <c r="L15" s="1" t="n"/>
      <c r="M15" s="1" t="n"/>
      <c r="N15" s="1" t="n"/>
      <c r="O15" s="1" t="n"/>
      <c r="P15" s="1" t="n"/>
      <c r="Q15" s="1" t="n"/>
      <c r="R15" s="1" t="n"/>
    </row>
    <row r="16" ht="15" customHeight="1">
      <c r="A16" s="1" t="n"/>
      <c r="B16" s="1" t="n"/>
      <c r="C16" s="1" t="n"/>
      <c r="D16" s="1" t="n"/>
      <c r="E16" s="1" t="n"/>
      <c r="F16" s="1" t="n"/>
      <c r="G16" s="1" t="n"/>
      <c r="H16" s="1" t="n"/>
      <c r="I16" s="1" t="n"/>
      <c r="J16" s="1" t="n"/>
      <c r="K16" s="1" t="n"/>
      <c r="L16" s="1" t="n"/>
      <c r="M16" s="1" t="n"/>
      <c r="N16" s="1" t="n"/>
      <c r="O16" s="1" t="n"/>
      <c r="P16" s="1" t="n"/>
      <c r="Q16" s="1" t="n"/>
      <c r="R16" s="1" t="n"/>
    </row>
    <row r="17" ht="15" customHeight="1">
      <c r="A17" s="1" t="n"/>
      <c r="B17" s="1" t="n"/>
      <c r="C17" s="1" t="n"/>
      <c r="D17" s="1" t="n"/>
      <c r="E17" s="1" t="n"/>
      <c r="F17" s="1" t="n"/>
      <c r="G17" s="1" t="n"/>
      <c r="H17" s="1" t="n"/>
      <c r="I17" s="1" t="n"/>
      <c r="J17" s="1" t="n"/>
      <c r="K17" s="1" t="n"/>
      <c r="L17" s="1" t="n"/>
      <c r="M17" s="1" t="n"/>
      <c r="N17" s="1" t="n"/>
      <c r="O17" s="1" t="n"/>
      <c r="P17" s="1" t="n"/>
      <c r="Q17" s="1" t="n"/>
      <c r="R17" s="1" t="n"/>
    </row>
    <row r="18" ht="15" customHeight="1">
      <c r="A18" s="1" t="n"/>
      <c r="B18" s="1" t="n"/>
      <c r="C18" s="1" t="n"/>
      <c r="D18" s="1" t="n"/>
      <c r="E18" s="1" t="n"/>
      <c r="F18" s="1" t="n"/>
      <c r="G18" s="1" t="n"/>
      <c r="H18" s="1" t="n"/>
      <c r="I18" s="1" t="n"/>
      <c r="J18" s="1" t="n"/>
      <c r="K18" s="1" t="n"/>
      <c r="L18" s="1" t="n"/>
      <c r="M18" s="1" t="n"/>
      <c r="N18" s="1" t="n"/>
      <c r="O18" s="1" t="n"/>
      <c r="P18" s="1" t="n"/>
      <c r="Q18" s="1" t="n"/>
      <c r="R18" s="1" t="n"/>
    </row>
    <row r="19" ht="15" customHeight="1">
      <c r="A19" s="1" t="n"/>
      <c r="B19" s="1" t="n"/>
      <c r="C19" s="1" t="n"/>
      <c r="D19" s="1" t="n"/>
      <c r="E19" s="1" t="n"/>
      <c r="F19" s="1" t="n"/>
      <c r="G19" s="1" t="n"/>
      <c r="H19" s="1" t="n"/>
      <c r="I19" s="1" t="n"/>
      <c r="J19" s="1" t="n"/>
      <c r="K19" s="1" t="n"/>
      <c r="L19" s="1" t="n"/>
      <c r="M19" s="1" t="n"/>
      <c r="N19" s="1" t="n"/>
      <c r="O19" s="1" t="n"/>
      <c r="P19" s="1" t="n"/>
      <c r="Q19" s="1" t="n"/>
      <c r="R19" s="1" t="n"/>
    </row>
    <row r="20" ht="15" customHeight="1">
      <c r="A20" s="1" t="n"/>
      <c r="B20" s="1" t="n"/>
      <c r="C20" s="1" t="n"/>
      <c r="D20" s="1" t="n"/>
      <c r="E20" s="1" t="n"/>
      <c r="F20" s="1" t="n"/>
      <c r="G20" s="1" t="n"/>
      <c r="H20" s="1" t="n"/>
      <c r="I20" s="1" t="n"/>
      <c r="J20" s="1" t="n"/>
      <c r="K20" s="1" t="n"/>
      <c r="L20" s="1" t="n"/>
      <c r="M20" s="1" t="n"/>
      <c r="N20" s="1" t="n"/>
      <c r="O20" s="1" t="n"/>
      <c r="P20" s="1" t="n"/>
      <c r="Q20" s="1" t="n"/>
      <c r="R20" s="1" t="n"/>
    </row>
    <row r="21" ht="15" customHeight="1">
      <c r="A21" s="1" t="n"/>
      <c r="B21" s="1" t="n"/>
      <c r="C21" s="1" t="n"/>
      <c r="D21" s="1" t="n"/>
      <c r="E21" s="1" t="n"/>
      <c r="F21" s="1" t="n"/>
      <c r="G21" s="1" t="n"/>
      <c r="H21" s="1" t="n"/>
      <c r="I21" s="1" t="n"/>
      <c r="J21" s="1" t="n"/>
      <c r="K21" s="1" t="n"/>
      <c r="L21" s="1" t="n"/>
      <c r="M21" s="1" t="n"/>
      <c r="N21" s="1" t="n"/>
      <c r="O21" s="1" t="n"/>
      <c r="P21" s="1" t="n"/>
      <c r="Q21" s="1" t="n"/>
      <c r="R21" s="1" t="n"/>
    </row>
    <row r="22" ht="15" customHeight="1">
      <c r="A22" s="1" t="n"/>
      <c r="B22" s="1" t="n"/>
      <c r="C22" s="1" t="n"/>
      <c r="D22" s="1" t="n"/>
      <c r="E22" s="1" t="n"/>
      <c r="F22" s="1" t="n"/>
      <c r="G22" s="1" t="n"/>
      <c r="H22" s="1" t="n"/>
      <c r="I22" s="1" t="n"/>
      <c r="J22" s="1" t="n"/>
      <c r="K22" s="1" t="n"/>
      <c r="L22" s="1" t="n"/>
      <c r="M22" s="1" t="n"/>
      <c r="N22" s="1" t="n"/>
      <c r="O22" s="1" t="n"/>
      <c r="P22" s="1" t="n"/>
      <c r="Q22" s="1" t="n"/>
      <c r="R22" s="1" t="n"/>
    </row>
    <row r="23" ht="15" customHeight="1">
      <c r="A23" s="1" t="n"/>
      <c r="B23" s="1" t="n"/>
      <c r="C23" s="1" t="n"/>
      <c r="D23" s="1" t="n"/>
      <c r="E23" s="1" t="n"/>
      <c r="F23" s="1" t="n"/>
      <c r="G23" s="1" t="n"/>
      <c r="H23" s="1" t="n"/>
      <c r="I23" s="1" t="n"/>
      <c r="J23" s="1" t="n"/>
      <c r="K23" s="1" t="n"/>
      <c r="L23" s="1" t="n"/>
      <c r="M23" s="1" t="n"/>
      <c r="N23" s="1" t="n"/>
      <c r="O23" s="1" t="n"/>
      <c r="P23" s="1" t="n"/>
      <c r="Q23" s="1" t="n"/>
      <c r="R23" s="1" t="n"/>
    </row>
    <row r="24" ht="15" customHeight="1">
      <c r="A24" s="1" t="n"/>
      <c r="B24" s="1" t="n"/>
      <c r="C24" s="1" t="n"/>
      <c r="D24" s="1" t="n"/>
      <c r="E24" s="1" t="n"/>
      <c r="F24" s="1" t="n"/>
      <c r="G24" s="1" t="n"/>
      <c r="H24" s="1" t="n"/>
      <c r="I24" s="1" t="n"/>
      <c r="J24" s="1" t="n"/>
      <c r="K24" s="1" t="n"/>
      <c r="L24" s="1" t="n"/>
      <c r="M24" s="1" t="n"/>
      <c r="N24" s="1" t="n"/>
      <c r="O24" s="1" t="n"/>
      <c r="P24" s="1" t="n"/>
      <c r="Q24" s="1" t="n"/>
      <c r="R24" s="1" t="n"/>
    </row>
    <row r="25" ht="15" customHeight="1">
      <c r="A25" s="1" t="n"/>
      <c r="B25" s="1" t="n"/>
      <c r="C25" s="1" t="n"/>
      <c r="D25" s="1" t="n"/>
      <c r="E25" s="1" t="n"/>
      <c r="F25" s="1" t="n"/>
      <c r="G25" s="1" t="n"/>
      <c r="H25" s="1" t="n"/>
      <c r="I25" s="1" t="n"/>
      <c r="J25" s="1" t="n"/>
      <c r="K25" s="1" t="n"/>
      <c r="L25" s="1" t="n"/>
      <c r="M25" s="1" t="n"/>
      <c r="N25" s="1" t="n"/>
      <c r="O25" s="1" t="n"/>
      <c r="P25" s="1" t="n"/>
      <c r="Q25" s="1" t="n"/>
      <c r="R25" s="1" t="n"/>
    </row>
    <row r="26" ht="15" customHeight="1">
      <c r="A26" s="1" t="n"/>
      <c r="B26" s="1" t="n"/>
      <c r="C26" s="1" t="n"/>
      <c r="D26" s="1" t="n"/>
      <c r="E26" s="1" t="n"/>
      <c r="F26" s="1" t="n"/>
      <c r="G26" s="1" t="n"/>
      <c r="H26" s="1" t="n"/>
      <c r="I26" s="1" t="n"/>
      <c r="J26" s="1" t="n"/>
      <c r="K26" s="1" t="n"/>
      <c r="L26" s="1" t="n"/>
      <c r="M26" s="1" t="n"/>
      <c r="N26" s="1" t="n"/>
      <c r="O26" s="1" t="n"/>
      <c r="P26" s="1" t="n"/>
      <c r="Q26" s="1" t="n"/>
      <c r="R26" s="1" t="n"/>
    </row>
    <row r="27" ht="15" customHeight="1">
      <c r="A27" s="1" t="n"/>
      <c r="B27" s="1" t="n"/>
      <c r="C27" s="1" t="n"/>
      <c r="D27" s="1" t="n"/>
      <c r="E27" s="1" t="n"/>
      <c r="F27" s="1" t="n"/>
      <c r="G27" s="1" t="n"/>
      <c r="H27" s="1" t="n"/>
      <c r="I27" s="1" t="n"/>
      <c r="J27" s="1" t="n"/>
      <c r="K27" s="1" t="n"/>
      <c r="L27" s="1" t="n"/>
      <c r="M27" s="1" t="n"/>
      <c r="N27" s="1" t="n"/>
      <c r="O27" s="1" t="n"/>
      <c r="P27" s="1" t="n"/>
      <c r="Q27" s="1" t="n"/>
      <c r="R27" s="1" t="n"/>
    </row>
    <row r="28" ht="15" customHeight="1">
      <c r="A28" s="1" t="n"/>
      <c r="B28" s="1" t="n"/>
      <c r="C28" s="1" t="n"/>
      <c r="D28" s="1" t="n"/>
      <c r="E28" s="1" t="n"/>
      <c r="F28" s="1" t="n"/>
      <c r="G28" s="1" t="n"/>
      <c r="H28" s="1" t="n"/>
      <c r="I28" s="1" t="n"/>
      <c r="J28" s="1" t="n"/>
      <c r="K28" s="1" t="n"/>
      <c r="L28" s="1" t="n"/>
      <c r="M28" s="1" t="n"/>
      <c r="N28" s="1" t="n"/>
      <c r="O28" s="1" t="n"/>
      <c r="P28" s="1" t="n"/>
      <c r="Q28" s="1" t="n"/>
      <c r="R28" s="1" t="n"/>
    </row>
    <row r="29" ht="15" customHeight="1">
      <c r="A29" s="1" t="n"/>
      <c r="B29" s="1" t="n"/>
      <c r="C29" s="1" t="n"/>
      <c r="D29" s="1" t="n"/>
      <c r="E29" s="1" t="n"/>
      <c r="F29" s="1" t="n"/>
      <c r="G29" s="1" t="n"/>
      <c r="H29" s="1" t="n"/>
      <c r="I29" s="1" t="n"/>
      <c r="J29" s="1" t="n"/>
      <c r="K29" s="1" t="n"/>
      <c r="L29" s="1" t="n"/>
      <c r="M29" s="1" t="n"/>
      <c r="N29" s="1" t="n"/>
      <c r="O29" s="1" t="n"/>
      <c r="P29" s="1" t="n"/>
      <c r="Q29" s="1" t="n"/>
      <c r="R29" s="1" t="n"/>
    </row>
    <row r="30" ht="12" customHeight="1">
      <c r="A30" s="1" t="n"/>
      <c r="B30" s="1" t="n"/>
      <c r="C30" s="1" t="n"/>
      <c r="D30" s="1" t="n"/>
      <c r="E30" s="1" t="n"/>
      <c r="F30" s="1" t="n"/>
      <c r="G30" s="1" t="n"/>
      <c r="H30" s="1" t="n"/>
      <c r="I30" s="1" t="n"/>
      <c r="J30" s="1" t="n"/>
      <c r="K30" s="1" t="n"/>
      <c r="L30" s="1" t="n"/>
      <c r="M30" s="1" t="n"/>
      <c r="N30" s="1" t="n"/>
      <c r="O30" s="1" t="n"/>
      <c r="P30" s="1" t="n"/>
      <c r="Q30" s="1" t="n"/>
      <c r="R30" s="1" t="n"/>
    </row>
    <row r="31" ht="20" customHeight="1">
      <c r="A31" s="1" t="n"/>
      <c r="B31" s="79" t="inlineStr">
        <is>
          <t>OBJ. 2 · EVOLUCIÓN DE CALIFICACIONES POR PARCIAL</t>
        </is>
      </c>
      <c r="L31" s="79" t="inlineStr">
        <is>
          <t>OBJ. 3 · HITOS DEL PLAN PROFESIONAL</t>
        </is>
      </c>
      <c r="R31" s="1" t="n"/>
    </row>
    <row r="32" ht="15" customHeight="1">
      <c r="A32" s="1" t="n"/>
      <c r="B32" s="1" t="n"/>
      <c r="C32" s="1" t="n"/>
      <c r="D32" s="1" t="n"/>
      <c r="E32" s="1" t="n"/>
      <c r="F32" s="1" t="n"/>
      <c r="G32" s="1" t="n"/>
      <c r="H32" s="1" t="n"/>
      <c r="I32" s="1" t="n"/>
      <c r="J32" s="1" t="n"/>
      <c r="K32" s="1" t="n"/>
      <c r="L32" s="1" t="n"/>
      <c r="M32" s="1" t="n"/>
      <c r="N32" s="1" t="n"/>
      <c r="O32" s="1" t="n"/>
      <c r="P32" s="1" t="n"/>
      <c r="Q32" s="1" t="n"/>
      <c r="R32" s="1" t="n"/>
    </row>
    <row r="33" ht="15" customHeight="1">
      <c r="A33" s="1" t="n"/>
      <c r="B33" s="1" t="n"/>
      <c r="C33" s="1" t="n"/>
      <c r="D33" s="1" t="n"/>
      <c r="E33" s="1" t="n"/>
      <c r="F33" s="1" t="n"/>
      <c r="G33" s="1" t="n"/>
      <c r="H33" s="1" t="n"/>
      <c r="I33" s="1" t="n"/>
      <c r="J33" s="1" t="n"/>
      <c r="K33" s="1" t="n"/>
      <c r="L33" s="1" t="n"/>
      <c r="M33" s="1" t="n"/>
      <c r="N33" s="1" t="n"/>
      <c r="O33" s="1" t="n"/>
      <c r="P33" s="1" t="n"/>
      <c r="Q33" s="1" t="n"/>
      <c r="R33" s="1" t="n"/>
    </row>
    <row r="34" ht="15" customHeight="1">
      <c r="A34" s="1" t="n"/>
      <c r="B34" s="1" t="n"/>
      <c r="C34" s="1" t="n"/>
      <c r="D34" s="1" t="n"/>
      <c r="E34" s="1" t="n"/>
      <c r="F34" s="1" t="n"/>
      <c r="G34" s="1" t="n"/>
      <c r="H34" s="1" t="n"/>
      <c r="I34" s="1" t="n"/>
      <c r="J34" s="1" t="n"/>
      <c r="K34" s="1" t="n"/>
      <c r="L34" s="1" t="n"/>
      <c r="M34" s="1" t="n"/>
      <c r="N34" s="1" t="n"/>
      <c r="O34" s="1" t="n"/>
      <c r="P34" s="1" t="n"/>
      <c r="Q34" s="1" t="n"/>
      <c r="R34" s="1" t="n"/>
    </row>
    <row r="35" ht="15" customHeight="1">
      <c r="A35" s="1" t="n"/>
      <c r="B35" s="1" t="n"/>
      <c r="C35" s="1" t="n"/>
      <c r="D35" s="1" t="n"/>
      <c r="E35" s="1" t="n"/>
      <c r="F35" s="1" t="n"/>
      <c r="G35" s="1" t="n"/>
      <c r="H35" s="1" t="n"/>
      <c r="I35" s="1" t="n"/>
      <c r="J35" s="1" t="n"/>
      <c r="K35" s="1" t="n"/>
      <c r="L35" s="1" t="n"/>
      <c r="M35" s="1" t="n"/>
      <c r="N35" s="1" t="n"/>
      <c r="O35" s="1" t="n"/>
      <c r="P35" s="1" t="n"/>
      <c r="Q35" s="1" t="n"/>
      <c r="R35" s="1" t="n"/>
    </row>
    <row r="36" ht="15" customHeight="1">
      <c r="A36" s="1" t="n"/>
      <c r="B36" s="1" t="n"/>
      <c r="C36" s="1" t="n"/>
      <c r="D36" s="1" t="n"/>
      <c r="E36" s="1" t="n"/>
      <c r="F36" s="1" t="n"/>
      <c r="G36" s="1" t="n"/>
      <c r="H36" s="1" t="n"/>
      <c r="I36" s="1" t="n"/>
      <c r="J36" s="1" t="n"/>
      <c r="K36" s="1" t="n"/>
      <c r="L36" s="1" t="n"/>
      <c r="M36" s="1" t="n"/>
      <c r="N36" s="1" t="n"/>
      <c r="O36" s="1" t="n"/>
      <c r="P36" s="1" t="n"/>
      <c r="Q36" s="1" t="n"/>
      <c r="R36" s="1" t="n"/>
    </row>
    <row r="37" ht="15" customHeight="1">
      <c r="A37" s="1" t="n"/>
      <c r="B37" s="1" t="n"/>
      <c r="C37" s="1" t="n"/>
      <c r="D37" s="1" t="n"/>
      <c r="E37" s="1" t="n"/>
      <c r="F37" s="1" t="n"/>
      <c r="G37" s="1" t="n"/>
      <c r="H37" s="1" t="n"/>
      <c r="I37" s="1" t="n"/>
      <c r="J37" s="1" t="n"/>
      <c r="K37" s="1" t="n"/>
      <c r="L37" s="1" t="n"/>
      <c r="M37" s="1" t="n"/>
      <c r="N37" s="1" t="n"/>
      <c r="O37" s="1" t="n"/>
      <c r="P37" s="1" t="n"/>
      <c r="Q37" s="1" t="n"/>
      <c r="R37" s="1" t="n"/>
    </row>
    <row r="38" ht="15" customHeight="1">
      <c r="A38" s="1" t="n"/>
      <c r="B38" s="1" t="n"/>
      <c r="C38" s="1" t="n"/>
      <c r="D38" s="1" t="n"/>
      <c r="E38" s="1" t="n"/>
      <c r="F38" s="1" t="n"/>
      <c r="G38" s="1" t="n"/>
      <c r="H38" s="1" t="n"/>
      <c r="I38" s="1" t="n"/>
      <c r="J38" s="1" t="n"/>
      <c r="K38" s="1" t="n"/>
      <c r="L38" s="1" t="n"/>
      <c r="M38" s="1" t="n"/>
      <c r="N38" s="1" t="n"/>
      <c r="O38" s="1" t="n"/>
      <c r="P38" s="1" t="n"/>
      <c r="Q38" s="1" t="n"/>
      <c r="R38" s="1" t="n"/>
    </row>
    <row r="39" ht="15" customHeight="1">
      <c r="A39" s="1" t="n"/>
      <c r="B39" s="1" t="n"/>
      <c r="C39" s="1" t="n"/>
      <c r="D39" s="1" t="n"/>
      <c r="E39" s="1" t="n"/>
      <c r="F39" s="1" t="n"/>
      <c r="G39" s="1" t="n"/>
      <c r="H39" s="1" t="n"/>
      <c r="I39" s="1" t="n"/>
      <c r="J39" s="1" t="n"/>
      <c r="K39" s="1" t="n"/>
      <c r="L39" s="1" t="n"/>
      <c r="M39" s="1" t="n"/>
      <c r="N39" s="1" t="n"/>
      <c r="O39" s="1" t="n"/>
      <c r="P39" s="1" t="n"/>
      <c r="Q39" s="1" t="n"/>
      <c r="R39" s="1" t="n"/>
    </row>
    <row r="40" ht="15" customHeight="1">
      <c r="A40" s="1" t="n"/>
      <c r="B40" s="1" t="n"/>
      <c r="C40" s="1" t="n"/>
      <c r="D40" s="1" t="n"/>
      <c r="E40" s="1" t="n"/>
      <c r="F40" s="1" t="n"/>
      <c r="G40" s="1" t="n"/>
      <c r="H40" s="1" t="n"/>
      <c r="I40" s="1" t="n"/>
      <c r="J40" s="1" t="n"/>
      <c r="K40" s="1" t="n"/>
      <c r="L40" s="1" t="n"/>
      <c r="M40" s="1" t="n"/>
      <c r="N40" s="1" t="n"/>
      <c r="O40" s="1" t="n"/>
      <c r="P40" s="1" t="n"/>
      <c r="Q40" s="1" t="n"/>
      <c r="R40" s="1" t="n"/>
    </row>
    <row r="41" ht="15" customHeight="1">
      <c r="A41" s="1" t="n"/>
      <c r="B41" s="1" t="n"/>
      <c r="C41" s="1" t="n"/>
      <c r="D41" s="1" t="n"/>
      <c r="E41" s="1" t="n"/>
      <c r="F41" s="1" t="n"/>
      <c r="G41" s="1" t="n"/>
      <c r="H41" s="1" t="n"/>
      <c r="I41" s="1" t="n"/>
      <c r="J41" s="1" t="n"/>
      <c r="K41" s="1" t="n"/>
      <c r="L41" s="1" t="n"/>
      <c r="M41" s="1" t="n"/>
      <c r="N41" s="1" t="n"/>
      <c r="O41" s="1" t="n"/>
      <c r="P41" s="1" t="n"/>
      <c r="Q41" s="1" t="n"/>
      <c r="R41" s="1" t="n"/>
    </row>
    <row r="42" ht="15" customHeight="1">
      <c r="A42" s="1" t="n"/>
      <c r="B42" s="1" t="n"/>
      <c r="C42" s="1" t="n"/>
      <c r="D42" s="1" t="n"/>
      <c r="E42" s="1" t="n"/>
      <c r="F42" s="1" t="n"/>
      <c r="G42" s="1" t="n"/>
      <c r="H42" s="1" t="n"/>
      <c r="I42" s="1" t="n"/>
      <c r="J42" s="1" t="n"/>
      <c r="K42" s="1" t="n"/>
      <c r="L42" s="1" t="n"/>
      <c r="M42" s="1" t="n"/>
      <c r="N42" s="1" t="n"/>
      <c r="O42" s="1" t="n"/>
      <c r="P42" s="1" t="n"/>
      <c r="Q42" s="1" t="n"/>
      <c r="R42" s="1" t="n"/>
    </row>
    <row r="43" ht="15" customHeight="1">
      <c r="A43" s="1" t="n"/>
      <c r="B43" s="1" t="n"/>
      <c r="C43" s="1" t="n"/>
      <c r="D43" s="1" t="n"/>
      <c r="E43" s="1" t="n"/>
      <c r="F43" s="1" t="n"/>
      <c r="G43" s="1" t="n"/>
      <c r="H43" s="1" t="n"/>
      <c r="I43" s="1" t="n"/>
      <c r="J43" s="1" t="n"/>
      <c r="K43" s="1" t="n"/>
      <c r="L43" s="1" t="n"/>
      <c r="M43" s="1" t="n"/>
      <c r="N43" s="1" t="n"/>
      <c r="O43" s="1" t="n"/>
      <c r="P43" s="1" t="n"/>
      <c r="Q43" s="1" t="n"/>
      <c r="R43" s="1" t="n"/>
    </row>
    <row r="44" ht="15" customHeight="1">
      <c r="A44" s="1" t="n"/>
      <c r="B44" s="1" t="n"/>
      <c r="C44" s="1" t="n"/>
      <c r="D44" s="1" t="n"/>
      <c r="E44" s="1" t="n"/>
      <c r="F44" s="1" t="n"/>
      <c r="G44" s="1" t="n"/>
      <c r="H44" s="1" t="n"/>
      <c r="I44" s="1" t="n"/>
      <c r="J44" s="1" t="n"/>
      <c r="K44" s="1" t="n"/>
      <c r="L44" s="1" t="n"/>
      <c r="M44" s="1" t="n"/>
      <c r="N44" s="1" t="n"/>
      <c r="O44" s="1" t="n"/>
      <c r="P44" s="1" t="n"/>
      <c r="Q44" s="1" t="n"/>
      <c r="R44" s="1" t="n"/>
    </row>
    <row r="45" ht="15" customHeight="1">
      <c r="A45" s="1" t="n"/>
      <c r="B45" s="1" t="n"/>
      <c r="C45" s="1" t="n"/>
      <c r="D45" s="1" t="n"/>
      <c r="E45" s="1" t="n"/>
      <c r="F45" s="1" t="n"/>
      <c r="G45" s="1" t="n"/>
      <c r="H45" s="1" t="n"/>
      <c r="I45" s="1" t="n"/>
      <c r="J45" s="1" t="n"/>
      <c r="K45" s="1" t="n"/>
      <c r="L45" s="80" t="inlineStr">
        <is>
          <t>Cursos completados</t>
        </is>
      </c>
      <c r="M45" s="81" t="n"/>
      <c r="N45" s="82" t="inlineStr">
        <is>
          <t>Currículum actualizado</t>
        </is>
      </c>
      <c r="O45" s="81" t="n"/>
      <c r="P45" s="83" t="inlineStr">
        <is>
          <t>Eventos asistidos</t>
        </is>
      </c>
      <c r="Q45" s="84" t="n"/>
      <c r="R45" s="1" t="n"/>
    </row>
    <row r="46" ht="15" customHeight="1">
      <c r="A46" s="1" t="n"/>
      <c r="B46" s="1" t="n"/>
      <c r="C46" s="1" t="n"/>
      <c r="D46" s="1" t="n"/>
      <c r="E46" s="1" t="n"/>
      <c r="F46" s="1" t="n"/>
      <c r="G46" s="1" t="n"/>
      <c r="H46" s="1" t="n"/>
      <c r="I46" s="1" t="n"/>
      <c r="J46" s="1" t="n"/>
      <c r="K46" s="1" t="n"/>
      <c r="L46" s="85" t="n"/>
      <c r="Q46" s="86" t="n"/>
      <c r="R46" s="1" t="n"/>
    </row>
    <row r="47" ht="20" customHeight="1">
      <c r="A47" s="1" t="n"/>
      <c r="B47" s="1" t="n"/>
      <c r="C47" s="1" t="n"/>
      <c r="D47" s="1" t="n"/>
      <c r="E47" s="1" t="n"/>
      <c r="F47" s="1" t="n"/>
      <c r="G47" s="1" t="n"/>
      <c r="H47" s="1" t="n"/>
      <c r="I47" s="1" t="n"/>
      <c r="J47" s="1" t="n"/>
      <c r="K47" s="1" t="n"/>
      <c r="L47" s="87" t="str">
        <f>'CÁLCULOS'!B48</f>
        <v>0 de 1</v>
      </c>
      <c r="M47" s="88" t="n"/>
      <c r="N47" s="89" t="str">
        <f>'CÁLCULOS'!B49</f>
        <v>En proceso</v>
      </c>
      <c r="O47" s="88" t="n"/>
      <c r="P47" s="90" t="str">
        <f>'CÁLCULOS'!B50</f>
        <v>0 de 2</v>
      </c>
      <c r="Q47" s="91" t="n"/>
      <c r="R47" s="1" t="n"/>
    </row>
    <row r="48" ht="12" customHeight="1">
      <c r="A48" s="1" t="n"/>
      <c r="B48" s="1" t="n"/>
      <c r="C48" s="1" t="n"/>
      <c r="D48" s="1" t="n"/>
      <c r="E48" s="1" t="n"/>
      <c r="F48" s="1" t="n"/>
      <c r="G48" s="1" t="n"/>
      <c r="H48" s="1" t="n"/>
      <c r="I48" s="1" t="n"/>
      <c r="J48" s="1" t="n"/>
      <c r="K48" s="1" t="n"/>
      <c r="L48" s="1" t="n"/>
      <c r="M48" s="1" t="n"/>
      <c r="N48" s="1" t="n"/>
      <c r="O48" s="1" t="n"/>
      <c r="P48" s="1" t="n"/>
      <c r="Q48" s="1" t="n"/>
      <c r="R48" s="1" t="n"/>
    </row>
    <row r="49" ht="20" customHeight="1">
      <c r="A49" s="1" t="n"/>
      <c r="B49" s="65" t="inlineStr">
        <is>
          <t>SEMÁFORO DE OBJETIVOS Y BARRAS DE PROGRESO</t>
        </is>
      </c>
      <c r="R49" s="1" t="n"/>
    </row>
    <row r="50" ht="30" customHeight="1">
      <c r="A50" s="1" t="n"/>
      <c r="B50" s="92" t="inlineStr">
        <is>
          <t>Indicador</t>
        </is>
      </c>
      <c r="C50" s="93" t="n"/>
      <c r="D50" s="93" t="n"/>
      <c r="E50" s="92" t="inlineStr">
        <is>
          <t>Objetivo</t>
        </is>
      </c>
      <c r="F50" s="92" t="inlineStr">
        <is>
          <t>Valor actual</t>
        </is>
      </c>
      <c r="G50" s="92" t="inlineStr">
        <is>
          <t>Meta</t>
        </is>
      </c>
      <c r="H50" s="92" t="inlineStr">
        <is>
          <t>Rojo</t>
        </is>
      </c>
      <c r="I50" s="92" t="inlineStr">
        <is>
          <t>Amarillo</t>
        </is>
      </c>
      <c r="J50" s="92" t="inlineStr">
        <is>
          <t>Verde</t>
        </is>
      </c>
      <c r="K50" s="92" t="inlineStr">
        <is>
          <t>Progreso hacia la meta</t>
        </is>
      </c>
      <c r="L50" s="93" t="n"/>
      <c r="M50" s="93" t="n"/>
      <c r="N50" s="93" t="n"/>
      <c r="O50" s="93" t="n"/>
      <c r="P50" s="92" t="inlineStr">
        <is>
          <t>Estado</t>
        </is>
      </c>
      <c r="Q50" s="93" t="n"/>
      <c r="R50" s="1" t="n"/>
    </row>
    <row r="51" ht="22" customHeight="1">
      <c r="A51" s="1" t="n"/>
      <c r="B51" s="94" t="str">
        <f>'CÁLCULOS'!A5</f>
        <v>Cumplimiento del horario</v>
      </c>
      <c r="C51" s="95" t="n"/>
      <c r="D51" s="95" t="n"/>
      <c r="E51" s="96" t="str">
        <f>'CÁLCULOS'!B5</f>
        <v>Obj. 1</v>
      </c>
      <c r="F51" s="97">
        <f>'CÁLCULOS'!C5</f>
        <v>0.8125</v>
      </c>
      <c r="G51" s="98">
        <f>'CÁLCULOS'!D5</f>
        <v>0.8</v>
      </c>
      <c r="H51" s="99" t="inlineStr">
        <is>
          <t>●</t>
        </is>
      </c>
      <c r="I51" s="99" t="inlineStr">
        <is>
          <t>●</t>
        </is>
      </c>
      <c r="J51" s="99" t="inlineStr">
        <is>
          <t>●</t>
        </is>
      </c>
      <c r="K51" s="100">
        <f>'CÁLCULOS'!H5</f>
        <v>1</v>
      </c>
      <c r="L51" s="95" t="n"/>
      <c r="M51" s="95" t="n"/>
      <c r="N51" s="95" t="n"/>
      <c r="O51" s="95" t="n"/>
      <c r="P51" s="101" t="str">
        <f>UPPER('CÁLCULOS'!G5)</f>
        <v>EN META</v>
      </c>
      <c r="Q51" s="95" t="n"/>
      <c r="R51" s="1" t="n"/>
    </row>
    <row r="52" ht="22" customHeight="1">
      <c r="A52" s="1" t="n"/>
      <c r="B52" s="94" t="str">
        <f>'CÁLCULOS'!A6</f>
        <v>Días de estudio por semana</v>
      </c>
      <c r="C52" s="95" t="n"/>
      <c r="D52" s="95" t="n"/>
      <c r="E52" s="96" t="str">
        <f>'CÁLCULOS'!B6</f>
        <v>Obj. 1</v>
      </c>
      <c r="F52" s="102">
        <f>'CÁLCULOS'!C6</f>
        <v>4.5</v>
      </c>
      <c r="G52" s="103">
        <f>'CÁLCULOS'!D6</f>
        <v>5</v>
      </c>
      <c r="H52" s="99" t="inlineStr">
        <is>
          <t>●</t>
        </is>
      </c>
      <c r="I52" s="99" t="inlineStr">
        <is>
          <t>●</t>
        </is>
      </c>
      <c r="J52" s="99" t="inlineStr">
        <is>
          <t>●</t>
        </is>
      </c>
      <c r="K52" s="100">
        <f>'CÁLCULOS'!H6</f>
        <v>0.9</v>
      </c>
      <c r="L52" s="95" t="n"/>
      <c r="M52" s="95" t="n"/>
      <c r="N52" s="95" t="n"/>
      <c r="O52" s="95" t="n"/>
      <c r="P52" s="101" t="str">
        <f>UPPER('CÁLCULOS'!G6)</f>
        <v>EN RIESGO</v>
      </c>
      <c r="Q52" s="95" t="n"/>
      <c r="R52" s="1" t="n"/>
    </row>
    <row r="53" ht="22" customHeight="1">
      <c r="A53" s="1" t="n"/>
      <c r="B53" s="94" t="str">
        <f>'CÁLCULOS'!A7</f>
        <v>Tareas entregadas a tiempo</v>
      </c>
      <c r="C53" s="95" t="n"/>
      <c r="D53" s="95" t="n"/>
      <c r="E53" s="96" t="str">
        <f>'CÁLCULOS'!B7</f>
        <v>Obj. 2</v>
      </c>
      <c r="F53" s="97">
        <f>'CÁLCULOS'!C7</f>
        <v>0.85</v>
      </c>
      <c r="G53" s="98">
        <f>'CÁLCULOS'!D7</f>
        <v>0.9</v>
      </c>
      <c r="H53" s="99" t="inlineStr">
        <is>
          <t>●</t>
        </is>
      </c>
      <c r="I53" s="99" t="inlineStr">
        <is>
          <t>●</t>
        </is>
      </c>
      <c r="J53" s="99" t="inlineStr">
        <is>
          <t>●</t>
        </is>
      </c>
      <c r="K53" s="100">
        <f>'CÁLCULOS'!H7</f>
        <v>0.944444444444444</v>
      </c>
      <c r="L53" s="95" t="n"/>
      <c r="M53" s="95" t="n"/>
      <c r="N53" s="95" t="n"/>
      <c r="O53" s="95" t="n"/>
      <c r="P53" s="101" t="str">
        <f>UPPER('CÁLCULOS'!G7)</f>
        <v>EN RIESGO</v>
      </c>
      <c r="Q53" s="95" t="n"/>
      <c r="R53" s="1" t="n"/>
    </row>
    <row r="54" ht="22" customHeight="1">
      <c r="A54" s="1" t="n"/>
      <c r="B54" s="94" t="str">
        <f>'CÁLCULOS'!A8</f>
        <v>Promedio general</v>
      </c>
      <c r="C54" s="95" t="n"/>
      <c r="D54" s="95" t="n"/>
      <c r="E54" s="96" t="str">
        <f>'CÁLCULOS'!B8</f>
        <v>Obj. 2</v>
      </c>
      <c r="F54" s="104">
        <f>'CÁLCULOS'!C8</f>
        <v>8.43</v>
      </c>
      <c r="G54" s="105">
        <f>'CÁLCULOS'!D8</f>
        <v>8.5</v>
      </c>
      <c r="H54" s="99" t="inlineStr">
        <is>
          <t>●</t>
        </is>
      </c>
      <c r="I54" s="99" t="inlineStr">
        <is>
          <t>●</t>
        </is>
      </c>
      <c r="J54" s="99" t="inlineStr">
        <is>
          <t>●</t>
        </is>
      </c>
      <c r="K54" s="100">
        <f>'CÁLCULOS'!H8</f>
        <v>0.991764705882353</v>
      </c>
      <c r="L54" s="95" t="n"/>
      <c r="M54" s="95" t="n"/>
      <c r="N54" s="95" t="n"/>
      <c r="O54" s="95" t="n"/>
      <c r="P54" s="101" t="str">
        <f>UPPER('CÁLCULOS'!G8)</f>
        <v>EN RIESGO</v>
      </c>
      <c r="Q54" s="95" t="n"/>
      <c r="R54" s="1" t="n"/>
    </row>
    <row r="55" ht="22" customHeight="1">
      <c r="A55" s="1" t="n"/>
      <c r="B55" s="94" t="str">
        <f>'CÁLCULOS'!A9</f>
        <v>Avance del plan profesional</v>
      </c>
      <c r="C55" s="95" t="n"/>
      <c r="D55" s="95" t="n"/>
      <c r="E55" s="96" t="str">
        <f>'CÁLCULOS'!B9</f>
        <v>Obj. 3</v>
      </c>
      <c r="F55" s="97">
        <f>'CÁLCULOS'!C9</f>
        <v>0.3</v>
      </c>
      <c r="G55" s="106">
        <f>'CÁLCULOS'!D9</f>
        <v>0.15</v>
      </c>
      <c r="H55" s="99" t="inlineStr">
        <is>
          <t>●</t>
        </is>
      </c>
      <c r="I55" s="99" t="inlineStr">
        <is>
          <t>●</t>
        </is>
      </c>
      <c r="J55" s="99" t="inlineStr">
        <is>
          <t>●</t>
        </is>
      </c>
      <c r="K55" s="100">
        <f>'CÁLCULOS'!H9</f>
        <v>0.3</v>
      </c>
      <c r="L55" s="95" t="n"/>
      <c r="M55" s="95" t="n"/>
      <c r="N55" s="95" t="n"/>
      <c r="O55" s="95" t="n"/>
      <c r="P55" s="101" t="str">
        <f>UPPER('CÁLCULOS'!G9)</f>
        <v>EN META</v>
      </c>
      <c r="Q55" s="95" t="n"/>
      <c r="R55" s="1" t="n"/>
    </row>
    <row r="56" ht="12" customHeight="1">
      <c r="A56" s="1" t="n"/>
      <c r="B56" s="1" t="n"/>
      <c r="C56" s="1" t="n"/>
      <c r="D56" s="1" t="n"/>
      <c r="E56" s="1" t="n"/>
      <c r="F56" s="1" t="n"/>
      <c r="G56" s="1" t="n"/>
      <c r="H56" s="1" t="n"/>
      <c r="I56" s="1" t="n"/>
      <c r="J56" s="1" t="n"/>
      <c r="K56" s="1" t="n"/>
      <c r="L56" s="1" t="n"/>
      <c r="M56" s="1" t="n"/>
      <c r="N56" s="1" t="n"/>
      <c r="O56" s="1" t="n"/>
      <c r="P56" s="1" t="n"/>
      <c r="Q56" s="1" t="n"/>
      <c r="R56" s="1" t="n"/>
    </row>
    <row r="57" ht="20" customHeight="1">
      <c r="A57" s="1" t="n"/>
      <c r="B57" s="65" t="inlineStr">
        <is>
          <t>SEMÁFORO POR ASIGNATURA</t>
        </is>
      </c>
      <c r="L57" s="79" t="inlineStr">
        <is>
          <t>PROMEDIO POR ASIGNATURA (color según semáforo)</t>
        </is>
      </c>
      <c r="R57" s="1" t="n"/>
    </row>
    <row r="58" ht="30" customHeight="1">
      <c r="A58" s="1" t="n"/>
      <c r="B58" s="92" t="inlineStr">
        <is>
          <t>Asignatura</t>
        </is>
      </c>
      <c r="C58" s="93" t="n"/>
      <c r="D58" s="92" t="inlineStr">
        <is>
          <t>Parcial 1</t>
        </is>
      </c>
      <c r="E58" s="92" t="inlineStr">
        <is>
          <t>Parcial 2</t>
        </is>
      </c>
      <c r="F58" s="92" t="inlineStr">
        <is>
          <t>Parcial 3 / Final</t>
        </is>
      </c>
      <c r="G58" s="92" t="inlineStr">
        <is>
          <t>Promedio</t>
        </is>
      </c>
      <c r="H58" s="92" t="inlineStr">
        <is>
          <t>Variación</t>
        </is>
      </c>
      <c r="I58" s="92" t="inlineStr">
        <is>
          <t>Tareas a tiempo</t>
        </is>
      </c>
      <c r="J58" s="92" t="inlineStr">
        <is>
          <t>Semáforo</t>
        </is>
      </c>
      <c r="K58" s="92" t="inlineStr">
        <is>
          <t>Estado</t>
        </is>
      </c>
      <c r="L58" s="1" t="n"/>
      <c r="M58" s="1" t="n"/>
      <c r="N58" s="1" t="n"/>
      <c r="O58" s="1" t="n"/>
      <c r="P58" s="1" t="n"/>
      <c r="Q58" s="1" t="n"/>
      <c r="R58" s="1" t="n"/>
    </row>
    <row r="59" ht="22" customHeight="1">
      <c r="A59" s="1" t="n"/>
      <c r="B59" s="107" t="str">
        <f>REGISTRO!B36</f>
        <v>Matemáticas</v>
      </c>
      <c r="C59" s="95" t="n"/>
      <c r="D59" s="108">
        <f>IF(REGISTRO!C36="","",REGISTRO!C36)</f>
        <v>6.2</v>
      </c>
      <c r="E59" s="108">
        <f>IF(REGISTRO!D36="","",REGISTRO!D36)</f>
        <v>7</v>
      </c>
      <c r="F59" s="108" t="str">
        <f>IF(REGISTRO!E36="","",REGISTRO!E36)</f>
        <v/>
      </c>
      <c r="G59" s="104">
        <f>REGISTRO!F36</f>
        <v>6.6</v>
      </c>
      <c r="H59" s="109">
        <f>REGISTRO!G36</f>
        <v>0.8</v>
      </c>
      <c r="I59" s="100">
        <f>REGISTRO!G45</f>
        <v>0.7</v>
      </c>
      <c r="J59" s="110">
        <f>'CÁLCULOS'!F28</f>
        <v>1</v>
      </c>
      <c r="K59" s="111" t="str">
        <f>'CÁLCULOS'!G28</f>
        <v>BAJO</v>
      </c>
      <c r="L59" s="1" t="n"/>
      <c r="M59" s="1" t="n"/>
      <c r="N59" s="1" t="n"/>
      <c r="O59" s="1" t="n"/>
      <c r="P59" s="1" t="n"/>
      <c r="Q59" s="1" t="n"/>
      <c r="R59" s="1" t="n"/>
    </row>
    <row r="60" ht="22" customHeight="1">
      <c r="A60" s="1" t="n"/>
      <c r="B60" s="107" t="str">
        <f>REGISTRO!B37</f>
        <v>Comunicación oral y escrita</v>
      </c>
      <c r="C60" s="95" t="n"/>
      <c r="D60" s="108">
        <f>IF(REGISTRO!C37="","",REGISTRO!C37)</f>
        <v>8.9</v>
      </c>
      <c r="E60" s="108">
        <f>IF(REGISTRO!D37="","",REGISTRO!D37)</f>
        <v>9.3</v>
      </c>
      <c r="F60" s="108" t="str">
        <f>IF(REGISTRO!E37="","",REGISTRO!E37)</f>
        <v/>
      </c>
      <c r="G60" s="104">
        <f>REGISTRO!F37</f>
        <v>9.1</v>
      </c>
      <c r="H60" s="109">
        <f>REGISTRO!G37</f>
        <v>0.4</v>
      </c>
      <c r="I60" s="100">
        <f>REGISTRO!G46</f>
        <v>1</v>
      </c>
      <c r="J60" s="110">
        <f>'CÁLCULOS'!F29</f>
        <v>3</v>
      </c>
      <c r="K60" s="111" t="str">
        <f>'CÁLCULOS'!G29</f>
        <v>EN META</v>
      </c>
      <c r="L60" s="1" t="n"/>
      <c r="M60" s="1" t="n"/>
      <c r="N60" s="1" t="n"/>
      <c r="O60" s="1" t="n"/>
      <c r="P60" s="1" t="n"/>
      <c r="Q60" s="1" t="n"/>
      <c r="R60" s="1" t="n"/>
    </row>
    <row r="61" ht="22" customHeight="1">
      <c r="A61" s="1" t="n"/>
      <c r="B61" s="107" t="str">
        <f>REGISTRO!B38</f>
        <v>Inglés</v>
      </c>
      <c r="C61" s="95" t="n"/>
      <c r="D61" s="108">
        <f>IF(REGISTRO!C38="","",REGISTRO!C38)</f>
        <v>8</v>
      </c>
      <c r="E61" s="108">
        <f>IF(REGISTRO!D38="","",REGISTRO!D38)</f>
        <v>7.8</v>
      </c>
      <c r="F61" s="108" t="str">
        <f>IF(REGISTRO!E38="","",REGISTRO!E38)</f>
        <v/>
      </c>
      <c r="G61" s="104">
        <f>REGISTRO!F38</f>
        <v>7.9</v>
      </c>
      <c r="H61" s="109">
        <f>REGISTRO!G38</f>
        <v>-0.2</v>
      </c>
      <c r="I61" s="100">
        <f>REGISTRO!G47</f>
        <v>0.777777777777778</v>
      </c>
      <c r="J61" s="110">
        <f>'CÁLCULOS'!F30</f>
        <v>2</v>
      </c>
      <c r="K61" s="111" t="str">
        <f>'CÁLCULOS'!G30</f>
        <v>EN RIESGO</v>
      </c>
      <c r="L61" s="1" t="n"/>
      <c r="M61" s="1" t="n"/>
      <c r="N61" s="1" t="n"/>
      <c r="O61" s="1" t="n"/>
      <c r="P61" s="1" t="n"/>
      <c r="Q61" s="1" t="n"/>
      <c r="R61" s="1" t="n"/>
    </row>
    <row r="62" ht="22" customHeight="1">
      <c r="A62" s="1" t="n"/>
      <c r="B62" s="107" t="str">
        <f>REGISTRO!B39</f>
        <v>Tecnologías de información</v>
      </c>
      <c r="C62" s="95" t="n"/>
      <c r="D62" s="108">
        <f>IF(REGISTRO!C39="","",REGISTRO!C39)</f>
        <v>8.8</v>
      </c>
      <c r="E62" s="108">
        <f>IF(REGISTRO!D39="","",REGISTRO!D39)</f>
        <v>9.2</v>
      </c>
      <c r="F62" s="108" t="str">
        <f>IF(REGISTRO!E39="","",REGISTRO!E39)</f>
        <v/>
      </c>
      <c r="G62" s="104">
        <f>REGISTRO!F39</f>
        <v>9</v>
      </c>
      <c r="H62" s="109">
        <f>REGISTRO!G39</f>
        <v>0.399999999999999</v>
      </c>
      <c r="I62" s="100">
        <f>REGISTRO!G48</f>
        <v>0.857142857142857</v>
      </c>
      <c r="J62" s="110">
        <f>'CÁLCULOS'!F31</f>
        <v>3</v>
      </c>
      <c r="K62" s="111" t="str">
        <f>'CÁLCULOS'!G31</f>
        <v>EN META</v>
      </c>
      <c r="L62" s="1" t="n"/>
      <c r="M62" s="1" t="n"/>
      <c r="N62" s="1" t="n"/>
      <c r="O62" s="1" t="n"/>
      <c r="P62" s="1" t="n"/>
      <c r="Q62" s="1" t="n"/>
      <c r="R62" s="1" t="n"/>
    </row>
    <row r="63" ht="22" customHeight="1">
      <c r="A63" s="1" t="n"/>
      <c r="B63" s="107" t="str">
        <f>REGISTRO!B40</f>
        <v>Desarrollo humano</v>
      </c>
      <c r="C63" s="95" t="n"/>
      <c r="D63" s="108">
        <f>IF(REGISTRO!C40="","",REGISTRO!C40)</f>
        <v>9.5</v>
      </c>
      <c r="E63" s="108">
        <f>IF(REGISTRO!D40="","",REGISTRO!D40)</f>
        <v>9.6</v>
      </c>
      <c r="F63" s="108" t="str">
        <f>IF(REGISTRO!E40="","",REGISTRO!E40)</f>
        <v/>
      </c>
      <c r="G63" s="104">
        <f>REGISTRO!F40</f>
        <v>9.55</v>
      </c>
      <c r="H63" s="109">
        <f>REGISTRO!G40</f>
        <v>0.0999999999999996</v>
      </c>
      <c r="I63" s="100">
        <f>REGISTRO!G49</f>
        <v>1</v>
      </c>
      <c r="J63" s="110">
        <f>'CÁLCULOS'!F32</f>
        <v>3</v>
      </c>
      <c r="K63" s="111" t="str">
        <f>'CÁLCULOS'!G32</f>
        <v>EN META</v>
      </c>
      <c r="L63" s="1" t="n"/>
      <c r="M63" s="1" t="n"/>
      <c r="N63" s="1" t="n"/>
      <c r="O63" s="1" t="n"/>
      <c r="P63" s="1" t="n"/>
      <c r="Q63" s="1" t="n"/>
      <c r="R63" s="1" t="n"/>
    </row>
    <row r="64" ht="22" customHeight="1">
      <c r="A64" s="1" t="n"/>
      <c r="B64" s="112" t="str">
        <f>REGISTRO!B41</f>
        <v>Promedio general (por evaluación)</v>
      </c>
      <c r="C64" s="95" t="n"/>
      <c r="D64" s="113">
        <f>IF(REGISTRO!C41="","",REGISTRO!C41)</f>
        <v>8.28</v>
      </c>
      <c r="E64" s="113">
        <f>IF(REGISTRO!D41="","",REGISTRO!D41)</f>
        <v>8.58</v>
      </c>
      <c r="F64" s="113" t="str">
        <f>IF(REGISTRO!E41="","",REGISTRO!E41)</f>
        <v/>
      </c>
      <c r="G64" s="113">
        <f>REGISTRO!F41</f>
        <v>8.43</v>
      </c>
      <c r="H64" s="114">
        <f>REGISTRO!G41</f>
        <v>0.300000000000001</v>
      </c>
      <c r="I64" s="115">
        <f>REGISTRO!G50</f>
        <v>0.85</v>
      </c>
      <c r="J64" s="116">
        <f>'CÁLCULOS'!F8</f>
        <v>2</v>
      </c>
      <c r="K64" s="117" t="str">
        <f>CHOOSE('CÁLCULOS'!F8,"BAJO","EN RIESGO","EN META")</f>
        <v>EN RIESGO</v>
      </c>
      <c r="L64" s="1" t="n"/>
      <c r="M64" s="1" t="n"/>
      <c r="N64" s="1" t="n"/>
      <c r="O64" s="1" t="n"/>
      <c r="P64" s="1" t="n"/>
      <c r="Q64" s="1" t="n"/>
      <c r="R64" s="1" t="n"/>
    </row>
    <row r="65" ht="12" customHeight="1">
      <c r="A65" s="1" t="n"/>
      <c r="B65" s="1" t="n"/>
      <c r="C65" s="1" t="n"/>
      <c r="D65" s="1" t="n"/>
      <c r="E65" s="1" t="n"/>
      <c r="F65" s="1" t="n"/>
      <c r="G65" s="1" t="n"/>
      <c r="H65" s="1" t="n"/>
      <c r="I65" s="1" t="n"/>
      <c r="J65" s="1" t="n"/>
      <c r="K65" s="1" t="n"/>
      <c r="L65" s="1" t="n"/>
      <c r="M65" s="1" t="n"/>
      <c r="N65" s="1" t="n"/>
      <c r="O65" s="1" t="n"/>
      <c r="P65" s="1" t="n"/>
      <c r="Q65" s="1" t="n"/>
      <c r="R65" s="1" t="n"/>
    </row>
    <row r="66" ht="20" customHeight="1">
      <c r="A66" s="1" t="n"/>
      <c r="B66" s="65" t="inlineStr">
        <is>
          <t>CÓMO LEER EL SEMÁFORO</t>
        </is>
      </c>
      <c r="L66" s="1" t="n"/>
      <c r="M66" s="1" t="n"/>
      <c r="N66" s="1" t="n"/>
      <c r="O66" s="1" t="n"/>
      <c r="P66" s="1" t="n"/>
      <c r="Q66" s="1" t="n"/>
      <c r="R66" s="1" t="n"/>
    </row>
    <row r="67" ht="18" customHeight="1">
      <c r="A67" s="1" t="n"/>
      <c r="B67" s="118" t="inlineStr">
        <is>
          <t>●</t>
        </is>
      </c>
      <c r="C67" s="119" t="inlineStr">
        <is>
          <t>Verde · En meta: el indicador alcanza o supera la meta. Mantengo lo que estoy haciendo.</t>
        </is>
      </c>
      <c r="D67" s="10" t="n"/>
      <c r="E67" s="10" t="n"/>
      <c r="F67" s="10" t="n"/>
      <c r="G67" s="10" t="n"/>
      <c r="H67" s="10" t="n"/>
      <c r="I67" s="10" t="n"/>
      <c r="J67" s="10" t="n"/>
      <c r="K67" s="67" t="n"/>
      <c r="L67" s="1" t="n"/>
      <c r="M67" s="1" t="n"/>
      <c r="N67" s="1" t="n"/>
      <c r="O67" s="1" t="n"/>
      <c r="P67" s="1" t="n"/>
      <c r="Q67" s="1" t="n"/>
      <c r="R67" s="1" t="n"/>
    </row>
    <row r="68" ht="18" customHeight="1">
      <c r="A68" s="1" t="n"/>
      <c r="B68" s="120" t="inlineStr">
        <is>
          <t>●</t>
        </is>
      </c>
      <c r="C68" s="121" t="inlineStr">
        <is>
          <t>Amarillo · En riesgo: estoy por debajo de la meta, pero arriba del mínimo. Necesito ajustar.</t>
        </is>
      </c>
      <c r="D68" s="16" t="n"/>
      <c r="E68" s="16" t="n"/>
      <c r="F68" s="16" t="n"/>
      <c r="G68" s="16" t="n"/>
      <c r="H68" s="16" t="n"/>
      <c r="I68" s="16" t="n"/>
      <c r="J68" s="16" t="n"/>
      <c r="K68" s="72" t="n"/>
      <c r="L68" s="1" t="n"/>
      <c r="M68" s="1" t="n"/>
      <c r="N68" s="1" t="n"/>
      <c r="O68" s="1" t="n"/>
      <c r="P68" s="1" t="n"/>
      <c r="Q68" s="1" t="n"/>
      <c r="R68" s="1" t="n"/>
    </row>
    <row r="69" ht="18" customHeight="1">
      <c r="A69" s="1" t="n"/>
      <c r="B69" s="122" t="inlineStr">
        <is>
          <t>●</t>
        </is>
      </c>
      <c r="C69" s="123" t="inlineStr">
        <is>
          <t>Rojo · Bajo rendimiento: estoy por debajo del mínimo. Hago un plan de acción esa misma semana.</t>
        </is>
      </c>
      <c r="D69" s="22" t="n"/>
      <c r="E69" s="22" t="n"/>
      <c r="F69" s="22" t="n"/>
      <c r="G69" s="22" t="n"/>
      <c r="H69" s="22" t="n"/>
      <c r="I69" s="22" t="n"/>
      <c r="J69" s="22" t="n"/>
      <c r="K69" s="78" t="n"/>
      <c r="L69" s="1" t="n"/>
      <c r="M69" s="1" t="n"/>
      <c r="N69" s="1" t="n"/>
      <c r="O69" s="1" t="n"/>
      <c r="P69" s="1" t="n"/>
      <c r="Q69" s="1" t="n"/>
      <c r="R69" s="1" t="n"/>
    </row>
    <row r="70" ht="18" customHeight="1">
      <c r="A70" s="1" t="n"/>
      <c r="B70" s="124" t="inlineStr">
        <is>
          <t>Los datos salen de la hoja REGISTRO; las metas y los umbrales del semáforo también se ajustan ahí. Las barras de progreso muestran qué tan cerca estoy de cada meta (100 % = meta alcanzada).</t>
        </is>
      </c>
      <c r="L70" s="1" t="n"/>
      <c r="M70" s="1" t="n"/>
      <c r="N70" s="1" t="n"/>
      <c r="O70" s="1" t="n"/>
      <c r="P70" s="1" t="n"/>
      <c r="Q70" s="1" t="n"/>
      <c r="R70" s="1" t="n"/>
    </row>
    <row r="71" ht="18" customHeight="1">
      <c r="A71" s="1" t="n"/>
      <c r="L71" s="1" t="n"/>
      <c r="M71" s="1" t="n"/>
      <c r="N71" s="1" t="n"/>
      <c r="O71" s="1" t="n"/>
      <c r="P71" s="1" t="n"/>
      <c r="Q71" s="1" t="n"/>
      <c r="R71" s="1" t="n"/>
    </row>
    <row r="72" ht="18" customHeight="1">
      <c r="A72" s="1" t="n"/>
      <c r="B72" s="1" t="n"/>
      <c r="C72" s="1" t="n"/>
      <c r="D72" s="1" t="n"/>
      <c r="E72" s="1" t="n"/>
      <c r="F72" s="1" t="n"/>
      <c r="G72" s="1" t="n"/>
      <c r="H72" s="1" t="n"/>
      <c r="I72" s="1" t="n"/>
      <c r="J72" s="1" t="n"/>
      <c r="K72" s="1" t="n"/>
      <c r="L72" s="1" t="n"/>
      <c r="M72" s="1" t="n"/>
      <c r="N72" s="1" t="n"/>
      <c r="O72" s="1" t="n"/>
      <c r="P72" s="1" t="n"/>
      <c r="Q72" s="1" t="n"/>
      <c r="R72" s="1" t="n"/>
    </row>
    <row r="73" ht="18" customHeight="1">
      <c r="A73" s="1" t="n"/>
      <c r="B73" s="1" t="n"/>
      <c r="C73" s="1" t="n"/>
      <c r="D73" s="1" t="n"/>
      <c r="E73" s="1" t="n"/>
      <c r="F73" s="1" t="n"/>
      <c r="G73" s="1" t="n"/>
      <c r="H73" s="1" t="n"/>
      <c r="I73" s="1" t="n"/>
      <c r="J73" s="1" t="n"/>
      <c r="K73" s="1" t="n"/>
      <c r="L73" s="1" t="n"/>
      <c r="M73" s="1" t="n"/>
      <c r="N73" s="1" t="n"/>
      <c r="O73" s="1" t="n"/>
      <c r="P73" s="1" t="n"/>
      <c r="Q73" s="1" t="n"/>
      <c r="R73" s="1" t="n"/>
    </row>
    <row r="74">
      <c r="A74" s="1" t="n"/>
      <c r="B74" s="1" t="n"/>
      <c r="C74" s="1" t="n"/>
      <c r="D74" s="1" t="n"/>
      <c r="E74" s="1" t="n"/>
      <c r="F74" s="1" t="n"/>
      <c r="G74" s="1" t="n"/>
      <c r="H74" s="1" t="n"/>
      <c r="I74" s="1" t="n"/>
      <c r="J74" s="1" t="n"/>
      <c r="K74" s="1" t="n"/>
      <c r="L74" s="1" t="n"/>
      <c r="M74" s="1" t="n"/>
      <c r="N74" s="1" t="n"/>
      <c r="O74" s="1" t="n"/>
      <c r="P74" s="1" t="n"/>
      <c r="Q74" s="1" t="n"/>
      <c r="R74" s="1" t="n"/>
    </row>
  </sheetData>
  <mergeCells count="73">
    <mergeCell ref="B9:E9"/>
    <mergeCell ref="B62:C62"/>
    <mergeCell ref="F9:I9"/>
    <mergeCell ref="P51:Q51"/>
    <mergeCell ref="B59:C59"/>
    <mergeCell ref="N9:Q9"/>
    <mergeCell ref="B6:E6"/>
    <mergeCell ref="L45:M46"/>
    <mergeCell ref="N47:O47"/>
    <mergeCell ref="B49:Q49"/>
    <mergeCell ref="B70:K71"/>
    <mergeCell ref="P50:Q50"/>
    <mergeCell ref="I7:I8"/>
    <mergeCell ref="N6:Q6"/>
    <mergeCell ref="B53:D53"/>
    <mergeCell ref="K54:O54"/>
    <mergeCell ref="M7:M8"/>
    <mergeCell ref="L47:M47"/>
    <mergeCell ref="B7:D8"/>
    <mergeCell ref="K55:O55"/>
    <mergeCell ref="B5:Q5"/>
    <mergeCell ref="B58:C58"/>
    <mergeCell ref="F7:H8"/>
    <mergeCell ref="N7:P8"/>
    <mergeCell ref="P52:Q52"/>
    <mergeCell ref="K51:O51"/>
    <mergeCell ref="F11:I11"/>
    <mergeCell ref="B61:C61"/>
    <mergeCell ref="N11:Q11"/>
    <mergeCell ref="K50:O50"/>
    <mergeCell ref="P55:Q55"/>
    <mergeCell ref="B60:C60"/>
    <mergeCell ref="L31:Q31"/>
    <mergeCell ref="B55:D55"/>
    <mergeCell ref="F10:I10"/>
    <mergeCell ref="B51:D51"/>
    <mergeCell ref="F6:I6"/>
    <mergeCell ref="B66:K66"/>
    <mergeCell ref="J10:M10"/>
    <mergeCell ref="B31:K31"/>
    <mergeCell ref="C67:K67"/>
    <mergeCell ref="K52:O52"/>
    <mergeCell ref="J9:M9"/>
    <mergeCell ref="N45:O46"/>
    <mergeCell ref="B50:D50"/>
    <mergeCell ref="P45:Q46"/>
    <mergeCell ref="E7:E8"/>
    <mergeCell ref="B11:E11"/>
    <mergeCell ref="J6:M6"/>
    <mergeCell ref="M3:N3"/>
    <mergeCell ref="C69:K69"/>
    <mergeCell ref="B2:Q2"/>
    <mergeCell ref="P53:Q53"/>
    <mergeCell ref="O3:Q3"/>
    <mergeCell ref="Q7:Q8"/>
    <mergeCell ref="P47:Q47"/>
    <mergeCell ref="B54:D54"/>
    <mergeCell ref="C68:K68"/>
    <mergeCell ref="J7:L8"/>
    <mergeCell ref="B3:J3"/>
    <mergeCell ref="B57:K57"/>
    <mergeCell ref="B64:C64"/>
    <mergeCell ref="K53:O53"/>
    <mergeCell ref="L57:Q57"/>
    <mergeCell ref="B13:K13"/>
    <mergeCell ref="J11:M11"/>
    <mergeCell ref="L13:Q13"/>
    <mergeCell ref="B52:D52"/>
    <mergeCell ref="B63:C63"/>
    <mergeCell ref="B10:E10"/>
    <mergeCell ref="N10:Q10"/>
    <mergeCell ref="K3:L3"/>
    <mergeCell ref="P54:Q54"/>
  </mergeCells>
  <conditionalFormatting sqref="E7:E8">
    <cfRule type="expression" priority="1" dxfId="0">
      <formula>$B$11="EN META"</formula>
    </cfRule>
    <cfRule type="expression" priority="2" dxfId="1">
      <formula>$B$11="EN RIESGO"</formula>
    </cfRule>
    <cfRule type="expression" priority="3" dxfId="2">
      <formula>$B$11="BAJO RENDIMIENTO"</formula>
    </cfRule>
  </conditionalFormatting>
  <conditionalFormatting sqref="B10:E10">
    <cfRule type="expression" priority="4" dxfId="0">
      <formula>$B$11="EN META"</formula>
    </cfRule>
    <cfRule type="expression" priority="5" dxfId="1">
      <formula>$B$11="EN RIESGO"</formula>
    </cfRule>
    <cfRule type="expression" priority="6" dxfId="2">
      <formula>$B$11="BAJO RENDIMIENTO"</formula>
    </cfRule>
  </conditionalFormatting>
  <conditionalFormatting sqref="B11:E11">
    <cfRule type="expression" priority="7" dxfId="3">
      <formula>$B$11="EN META"</formula>
    </cfRule>
    <cfRule type="expression" priority="8" dxfId="4">
      <formula>$B$11="EN RIESGO"</formula>
    </cfRule>
    <cfRule type="expression" priority="9" dxfId="5">
      <formula>$B$11="BAJO RENDIMIENTO"</formula>
    </cfRule>
  </conditionalFormatting>
  <conditionalFormatting sqref="I7:I8">
    <cfRule type="expression" priority="10" dxfId="0">
      <formula>$F$11="EN META"</formula>
    </cfRule>
    <cfRule type="expression" priority="11" dxfId="1">
      <formula>$F$11="EN RIESGO"</formula>
    </cfRule>
    <cfRule type="expression" priority="12" dxfId="2">
      <formula>$F$11="BAJO RENDIMIENTO"</formula>
    </cfRule>
  </conditionalFormatting>
  <conditionalFormatting sqref="F10:I10">
    <cfRule type="expression" priority="13" dxfId="0">
      <formula>$F$11="EN META"</formula>
    </cfRule>
    <cfRule type="expression" priority="14" dxfId="1">
      <formula>$F$11="EN RIESGO"</formula>
    </cfRule>
    <cfRule type="expression" priority="15" dxfId="2">
      <formula>$F$11="BAJO RENDIMIENTO"</formula>
    </cfRule>
  </conditionalFormatting>
  <conditionalFormatting sqref="F11:I11">
    <cfRule type="expression" priority="16" dxfId="3">
      <formula>$F$11="EN META"</formula>
    </cfRule>
    <cfRule type="expression" priority="17" dxfId="4">
      <formula>$F$11="EN RIESGO"</formula>
    </cfRule>
    <cfRule type="expression" priority="18" dxfId="5">
      <formula>$F$11="BAJO RENDIMIENTO"</formula>
    </cfRule>
  </conditionalFormatting>
  <conditionalFormatting sqref="M7:M8">
    <cfRule type="expression" priority="19" dxfId="0">
      <formula>$J$11="EN META"</formula>
    </cfRule>
    <cfRule type="expression" priority="20" dxfId="1">
      <formula>$J$11="EN RIESGO"</formula>
    </cfRule>
    <cfRule type="expression" priority="21" dxfId="2">
      <formula>$J$11="BAJO RENDIMIENTO"</formula>
    </cfRule>
  </conditionalFormatting>
  <conditionalFormatting sqref="J10:M10">
    <cfRule type="expression" priority="22" dxfId="0">
      <formula>$J$11="EN META"</formula>
    </cfRule>
    <cfRule type="expression" priority="23" dxfId="1">
      <formula>$J$11="EN RIESGO"</formula>
    </cfRule>
    <cfRule type="expression" priority="24" dxfId="2">
      <formula>$J$11="BAJO RENDIMIENTO"</formula>
    </cfRule>
  </conditionalFormatting>
  <conditionalFormatting sqref="J11:M11">
    <cfRule type="expression" priority="25" dxfId="3">
      <formula>$J$11="EN META"</formula>
    </cfRule>
    <cfRule type="expression" priority="26" dxfId="4">
      <formula>$J$11="EN RIESGO"</formula>
    </cfRule>
    <cfRule type="expression" priority="27" dxfId="5">
      <formula>$J$11="BAJO RENDIMIENTO"</formula>
    </cfRule>
  </conditionalFormatting>
  <conditionalFormatting sqref="Q7:Q8">
    <cfRule type="expression" priority="28" dxfId="0">
      <formula>$N$11="EN META"</formula>
    </cfRule>
    <cfRule type="expression" priority="29" dxfId="1">
      <formula>$N$11="EN RIESGO"</formula>
    </cfRule>
    <cfRule type="expression" priority="30" dxfId="2">
      <formula>$N$11="BAJO RENDIMIENTO"</formula>
    </cfRule>
  </conditionalFormatting>
  <conditionalFormatting sqref="N10:Q10">
    <cfRule type="expression" priority="31" dxfId="0">
      <formula>$N$11="EN META"</formula>
    </cfRule>
    <cfRule type="expression" priority="32" dxfId="1">
      <formula>$N$11="EN RIESGO"</formula>
    </cfRule>
    <cfRule type="expression" priority="33" dxfId="2">
      <formula>$N$11="BAJO RENDIMIENTO"</formula>
    </cfRule>
  </conditionalFormatting>
  <conditionalFormatting sqref="N11:Q11">
    <cfRule type="expression" priority="34" dxfId="3">
      <formula>$N$11="EN META"</formula>
    </cfRule>
    <cfRule type="expression" priority="35" dxfId="4">
      <formula>$N$11="EN RIESGO"</formula>
    </cfRule>
    <cfRule type="expression" priority="36" dxfId="5">
      <formula>$N$11="BAJO RENDIMIENTO"</formula>
    </cfRule>
  </conditionalFormatting>
  <conditionalFormatting sqref="H51:H55">
    <cfRule type="expression" priority="37" dxfId="2">
      <formula>$P51="BAJO RENDIMIENTO"</formula>
    </cfRule>
  </conditionalFormatting>
  <conditionalFormatting sqref="I51:I55">
    <cfRule type="expression" priority="38" dxfId="1">
      <formula>$P51="EN RIESGO"</formula>
    </cfRule>
  </conditionalFormatting>
  <conditionalFormatting sqref="J51:J55">
    <cfRule type="expression" priority="39" dxfId="0">
      <formula>$P51="EN META"</formula>
    </cfRule>
  </conditionalFormatting>
  <conditionalFormatting sqref="K51:K55">
    <cfRule type="dataBar" priority="40">
      <dataBar showValue="1">
        <cfvo type="num" val="0"/>
        <cfvo type="num" val="1"/>
        <color rgb="001FA595"/>
      </dataBar>
    </cfRule>
  </conditionalFormatting>
  <conditionalFormatting sqref="P51:Q55">
    <cfRule type="expression" priority="41" dxfId="3">
      <formula>$P51="EN META"</formula>
    </cfRule>
    <cfRule type="expression" priority="42" dxfId="4">
      <formula>$P51="EN RIESGO"</formula>
    </cfRule>
    <cfRule type="expression" priority="43" dxfId="5">
      <formula>$P51="BAJO RENDIMIENTO"</formula>
    </cfRule>
  </conditionalFormatting>
  <conditionalFormatting sqref="H59:H64">
    <cfRule type="cellIs" priority="44" operator="greaterThan" dxfId="0">
      <formula>0</formula>
    </cfRule>
    <cfRule type="cellIs" priority="45" operator="lessThan" dxfId="2">
      <formula>0</formula>
    </cfRule>
  </conditionalFormatting>
  <conditionalFormatting sqref="I59:I64">
    <cfRule type="dataBar" priority="46">
      <dataBar showValue="1">
        <cfvo type="num" val="0"/>
        <cfvo type="num" val="1"/>
        <color rgb="001FA595"/>
      </dataBar>
    </cfRule>
  </conditionalFormatting>
  <conditionalFormatting sqref="J59:J64">
    <cfRule type="iconSet" priority="47">
      <iconSet iconSet="3TrafficLights1" showValue="0">
        <cfvo type="num" val="0"/>
        <cfvo type="num" val="2"/>
        <cfvo type="num" val="3"/>
      </iconSet>
    </cfRule>
  </conditionalFormatting>
  <conditionalFormatting sqref="K59:K64">
    <cfRule type="expression" priority="48" dxfId="3">
      <formula>$K59="EN META"</formula>
    </cfRule>
    <cfRule type="expression" priority="49" dxfId="4">
      <formula>$K59="EN RIESGO"</formula>
    </cfRule>
    <cfRule type="expression" priority="50" dxfId="5">
      <formula>$K59="BAJO"</formula>
    </cfRule>
  </conditionalFormatting>
  <printOptions horizontalCentered="1"/>
  <pageMargins left="0.4" right="0.4" top="0.5" bottom="0.5" header="0.5" footer="0.5"/>
  <pageSetup orientation="landscape" paperSize="1" fitToHeight="0" fitToWidth="1"/>
  <drawing xmlns:r="http://schemas.openxmlformats.org/officeDocument/2006/relationships" r:id="rId1"/>
</worksheet>
</file>

<file path=xl/worksheets/sheet3.xml><?xml version="1.0" encoding="utf-8"?>
<worksheet xmlns="http://schemas.openxmlformats.org/spreadsheetml/2006/main">
  <sheetPr>
    <tabColor rgb="000F2342"/>
    <outlinePr summaryBelow="1" summaryRight="1"/>
    <pageSetUpPr fitToPage="1"/>
  </sheetPr>
  <dimension ref="A1:H24"/>
  <sheetViews>
    <sheetView showGridLines="0" workbookViewId="0">
      <selection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2" customWidth="1" min="8" max="8"/>
  </cols>
  <sheetData>
    <row r="1" ht="10" customHeight="1">
      <c r="A1" s="1" t="n"/>
      <c r="B1" s="1" t="n"/>
      <c r="C1" s="1" t="n"/>
      <c r="D1" s="1" t="n"/>
      <c r="E1" s="1" t="n"/>
      <c r="F1" s="1" t="n"/>
      <c r="G1" s="1" t="n"/>
      <c r="H1" s="1" t="n"/>
    </row>
    <row r="2" ht="46" customHeight="1">
      <c r="A2" s="1" t="n"/>
      <c r="B2" s="125" t="inlineStr">
        <is>
          <t>Conclusión</t>
        </is>
      </c>
      <c r="C2" s="2" t="n"/>
      <c r="D2" s="2" t="n"/>
      <c r="E2" s="2" t="n"/>
      <c r="F2" s="2" t="n"/>
      <c r="G2" s="2" t="n"/>
      <c r="H2" s="1" t="n"/>
    </row>
    <row r="3" ht="24" customHeight="1">
      <c r="A3" s="1" t="n"/>
      <c r="B3" s="126" t="inlineStr">
        <is>
          <t>Lo que aprendí en la Etapa 2 y cómo me sirve para mi carrera profesional</t>
        </is>
      </c>
      <c r="C3" s="61" t="n"/>
      <c r="D3" s="61" t="n"/>
      <c r="E3" s="61" t="n"/>
      <c r="F3" s="61" t="n"/>
      <c r="G3" s="61" t="n"/>
      <c r="H3" s="1" t="n"/>
    </row>
    <row r="4" ht="14" customHeight="1">
      <c r="A4" s="1" t="n"/>
      <c r="B4" s="1" t="n"/>
      <c r="C4" s="1" t="n"/>
      <c r="D4" s="1" t="n"/>
      <c r="E4" s="1" t="n"/>
      <c r="F4" s="1" t="n"/>
      <c r="G4" s="1" t="n"/>
      <c r="H4" s="1" t="n"/>
    </row>
    <row r="5" ht="86.5" customHeight="1">
      <c r="A5" s="1" t="n"/>
      <c r="B5" s="127" t="inlineStr">
        <is>
          <t>En la primera etapa definí mi meta, mi objetivo general y tres objetivos específicos con sus actividades. En esta segunda etapa me di cuenta de que un plan escrito no basta si no tengo una forma clara de saber si lo estoy cumpliendo. Por eso agregué a cada objetivo un indicador de desempeño y un KPI. El indicador me dice qué estoy haciendo en el día a día, por ejemplo cuántos días estudié en la semana. El KPI resume si voy logrando el resultado que me propuse, como cumplir al menos el 80 % de los bloques de estudio que planifiqué.</t>
        </is>
      </c>
      <c r="C5" s="54" t="n"/>
      <c r="D5" s="54" t="n"/>
      <c r="E5" s="54" t="n"/>
      <c r="F5" s="54" t="n"/>
      <c r="G5" s="55" t="n"/>
      <c r="H5" s="1" t="n"/>
    </row>
    <row r="6" ht="8" customHeight="1">
      <c r="A6" s="1" t="n"/>
      <c r="B6" s="128" t="n"/>
      <c r="C6" s="129" t="n"/>
      <c r="D6" s="129" t="n"/>
      <c r="E6" s="129" t="n"/>
      <c r="F6" s="129" t="n"/>
      <c r="G6" s="130" t="n"/>
      <c r="H6" s="1" t="n"/>
    </row>
    <row r="7" ht="101" customHeight="1">
      <c r="A7" s="1" t="n"/>
      <c r="B7" s="131" t="inlineStr">
        <is>
          <t>Armar el tablero en Excel también me enseñó a ordenar la información antes de graficarla. Separé en hojas distintas los datos que registro cada semana, los cálculos y el tablero, para que todo se actualice cuando escribo un dato nuevo. Las gráficas de barras me muestran cómo cambian mis calificaciones de un parcial a otro y qué semanas cumplí mi horario; las gráficas circulares me dejan ver cuántas tareas entregué a tiempo; y las barras de progreso me recuerdan cuánto me falta para cada meta. Como dice Few (2006), un tablero sirve cuando deja ver lo importante en un solo vistazo, y eso fue lo que intenté lograr.</t>
        </is>
      </c>
      <c r="C7" s="132" t="n"/>
      <c r="D7" s="132" t="n"/>
      <c r="E7" s="132" t="n"/>
      <c r="F7" s="132" t="n"/>
      <c r="G7" s="133" t="n"/>
      <c r="H7" s="1" t="n"/>
    </row>
    <row r="8" ht="8" customHeight="1">
      <c r="A8" s="1" t="n"/>
      <c r="B8" s="128" t="n"/>
      <c r="C8" s="129" t="n"/>
      <c r="D8" s="129" t="n"/>
      <c r="E8" s="129" t="n"/>
      <c r="F8" s="129" t="n"/>
      <c r="G8" s="130" t="n"/>
      <c r="H8" s="1" t="n"/>
    </row>
    <row r="9" ht="86.5" customHeight="1">
      <c r="A9" s="1" t="n"/>
      <c r="B9" s="131" t="inlineStr">
        <is>
          <t>Lo que más me sirvió fue el semáforo. Ver una materia en amarillo o en rojo me obliga a actuar antes del examen final, cuando todavía puedo pedir ayuda, repasar con preguntas y ejercicios (una de las técnicas de estudio con mejor respaldo, según Dunlosky et al., 2013) o reorganizar mi semana. También me ayuda a reconocer mis avances cuando un indicador pasa a verde, algo que en la Etapa 1 identifiqué como una necesidad. Con el tablero tomo decisiones a partir de datos y ya no solo con la sensación de que voy bien o mal.</t>
        </is>
      </c>
      <c r="C9" s="132" t="n"/>
      <c r="D9" s="132" t="n"/>
      <c r="E9" s="132" t="n"/>
      <c r="F9" s="132" t="n"/>
      <c r="G9" s="133" t="n"/>
      <c r="H9" s="1" t="n"/>
    </row>
    <row r="10" ht="8" customHeight="1">
      <c r="A10" s="1" t="n"/>
      <c r="B10" s="128" t="n"/>
      <c r="C10" s="129" t="n"/>
      <c r="D10" s="129" t="n"/>
      <c r="E10" s="129" t="n"/>
      <c r="F10" s="129" t="n"/>
      <c r="G10" s="130" t="n"/>
      <c r="H10" s="1" t="n"/>
    </row>
    <row r="11" ht="101" customHeight="1">
      <c r="A11" s="1" t="n"/>
      <c r="B11" s="131" t="inlineStr">
        <is>
          <t>Para mi carrera profesional, esta etapa me deja herramientas que voy a seguir usando. En casi cualquier trabajo se habla de metas, indicadores y reportes, y saber diseñar un KPI, registrar datos y presentarlos con claridad es una habilidad que se puede aplicar en cualquier área. Además, dar seguimiento a mis propios objetivos fortalece la organización, la autonomía y la perseverancia, que son competencias que me propuse entrenar. Mi compromiso es actualizar el registro cada domingo, durante la revisión semanal de mi horario, y ajustar el plan cuando los datos me indiquen que algo no está funcionando.</t>
        </is>
      </c>
      <c r="C11" s="132" t="n"/>
      <c r="D11" s="132" t="n"/>
      <c r="E11" s="132" t="n"/>
      <c r="F11" s="132" t="n"/>
      <c r="G11" s="133" t="n"/>
      <c r="H11" s="1" t="n"/>
    </row>
    <row r="12" ht="8" customHeight="1">
      <c r="A12" s="1" t="n"/>
      <c r="B12" s="128" t="n"/>
      <c r="C12" s="129" t="n"/>
      <c r="D12" s="129" t="n"/>
      <c r="E12" s="129" t="n"/>
      <c r="F12" s="129" t="n"/>
      <c r="G12" s="130" t="n"/>
      <c r="H12" s="1" t="n"/>
    </row>
    <row r="13" ht="40" customHeight="1">
      <c r="A13" s="1" t="n"/>
      <c r="B13" s="134" t="inlineStr">
        <is>
          <t>Un plan me dice a dónde quiero llegar; el tablero de control me dice si voy en camino.</t>
        </is>
      </c>
      <c r="C13" s="57" t="n"/>
      <c r="D13" s="57" t="n"/>
      <c r="E13" s="57" t="n"/>
      <c r="F13" s="57" t="n"/>
      <c r="G13" s="58" t="n"/>
      <c r="H13" s="1" t="n"/>
    </row>
    <row r="14">
      <c r="A14" s="1" t="n"/>
      <c r="B14" s="1" t="n"/>
      <c r="C14" s="1" t="n"/>
      <c r="D14" s="1" t="n"/>
      <c r="E14" s="1" t="n"/>
      <c r="F14" s="1" t="n"/>
      <c r="G14" s="1" t="n"/>
      <c r="H14" s="1" t="n"/>
    </row>
    <row r="15">
      <c r="A15" s="1" t="n"/>
      <c r="B15" s="135" t="inlineStr">
        <is>
          <t>Valeria Ochoa · ID 5277522</t>
        </is>
      </c>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sheetData>
  <mergeCells count="8">
    <mergeCell ref="B3:G3"/>
    <mergeCell ref="B2:G2"/>
    <mergeCell ref="B5:G5"/>
    <mergeCell ref="B9:G9"/>
    <mergeCell ref="B13:G13"/>
    <mergeCell ref="B15:G15"/>
    <mergeCell ref="B7:G7"/>
    <mergeCell ref="B11:G11"/>
  </mergeCells>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2574A9"/>
    <outlinePr summaryBelow="1" summaryRight="1"/>
    <pageSetUpPr fitToPage="1"/>
  </sheetPr>
  <dimension ref="A1:J66"/>
  <sheetViews>
    <sheetView showGridLines="0" workbookViewId="0">
      <pane ySplit="3" topLeftCell="A4" activePane="bottomLeft" state="frozen"/>
      <selection pane="bottomLeft" activeCell="A1" sqref="A1"/>
    </sheetView>
  </sheetViews>
  <sheetFormatPr baseColWidth="8" defaultRowHeight="15"/>
  <cols>
    <col width="2" customWidth="1" min="1" max="1"/>
    <col width="58" customWidth="1" min="2" max="2"/>
    <col width="15" customWidth="1" min="3" max="3"/>
    <col width="15" customWidth="1" min="4" max="4"/>
    <col width="19" customWidth="1" min="5" max="5"/>
    <col width="15" customWidth="1" min="6" max="6"/>
    <col width="17" customWidth="1" min="7" max="7"/>
    <col width="15" customWidth="1" min="8" max="8"/>
    <col width="18" customWidth="1" min="9" max="9"/>
  </cols>
  <sheetData>
    <row r="1" ht="34" customHeight="1">
      <c r="A1" s="4" t="n"/>
      <c r="B1" s="136" t="inlineStr">
        <is>
          <t>REGISTRO DE DATOS · lo que capturo para alimentar el tablero</t>
        </is>
      </c>
      <c r="C1" s="2" t="n"/>
      <c r="D1" s="2" t="n"/>
      <c r="E1" s="2" t="n"/>
      <c r="F1" s="2" t="n"/>
      <c r="G1" s="2" t="n"/>
      <c r="H1" s="2" t="n"/>
      <c r="I1" s="2" t="n"/>
      <c r="J1" s="4" t="n"/>
    </row>
    <row r="2" ht="34" customHeight="1">
      <c r="A2" s="4" t="n"/>
      <c r="B2" s="137" t="inlineStr">
        <is>
          <t>Escribo solo en las celdas azul claro; el tablero, los semáforos y los gráficos se actualizan solos. IMPORTANTE: los números que aparecen ahora son DATOS DE EJEMPLO para mostrar cómo funciona el tablero. Hay que cambiarlos por mis materias, calificaciones y avances reales.</t>
        </is>
      </c>
      <c r="C2" s="138" t="n"/>
      <c r="D2" s="138" t="n"/>
      <c r="E2" s="138" t="n"/>
      <c r="F2" s="138" t="n"/>
      <c r="G2" s="138" t="n"/>
      <c r="H2" s="138" t="n"/>
      <c r="I2" s="138" t="n"/>
      <c r="J2" s="4" t="n"/>
    </row>
    <row r="3" ht="20" customHeight="1">
      <c r="A3" s="4" t="n"/>
      <c r="B3" s="139" t="inlineStr">
        <is>
          <t>Celda de captura</t>
        </is>
      </c>
      <c r="C3" s="140" t="inlineStr">
        <is>
          <t>Celda con fórmula (no se edita)</t>
        </is>
      </c>
      <c r="G3" s="4" t="n"/>
      <c r="H3" s="4" t="n"/>
      <c r="I3" s="4" t="n"/>
      <c r="J3" s="4" t="n"/>
    </row>
    <row r="4" ht="24" customHeight="1">
      <c r="A4" s="4" t="n"/>
      <c r="B4" s="141" t="inlineStr">
        <is>
          <t>1. PARÁMETROS Y METAS</t>
        </is>
      </c>
      <c r="J4" s="4" t="n"/>
    </row>
    <row r="5" ht="20" customHeight="1">
      <c r="A5" s="4" t="n"/>
      <c r="B5" s="142" t="inlineStr">
        <is>
          <t>Fecha de corte del reporte (la actualizo cada domingo)</t>
        </is>
      </c>
      <c r="C5" s="143" t="n">
        <v>46320</v>
      </c>
      <c r="D5" s="4" t="n"/>
      <c r="E5" s="4" t="n"/>
      <c r="F5" s="4" t="n"/>
      <c r="G5" s="4" t="n"/>
      <c r="H5" s="4" t="n"/>
      <c r="I5" s="4" t="n"/>
      <c r="J5" s="4" t="n"/>
    </row>
    <row r="6" ht="20" customHeight="1">
      <c r="A6" s="4" t="n"/>
      <c r="B6" s="142" t="inlineStr">
        <is>
          <t>Inicio del plan (lunes de la semana 1)</t>
        </is>
      </c>
      <c r="C6" s="143" t="n">
        <v>46265</v>
      </c>
      <c r="D6" s="4" t="n"/>
      <c r="E6" s="4" t="n"/>
      <c r="F6" s="4" t="n"/>
      <c r="G6" s="4" t="n"/>
      <c r="H6" s="4" t="n"/>
      <c r="I6" s="4" t="n"/>
      <c r="J6" s="4" t="n"/>
    </row>
    <row r="7" ht="20" customHeight="1">
      <c r="A7" s="4" t="n"/>
      <c r="B7" s="142" t="inlineStr">
        <is>
          <t>Duración del plan de desarrollo profesional (meses)</t>
        </is>
      </c>
      <c r="C7" s="144" t="n">
        <v>12</v>
      </c>
      <c r="D7" s="4" t="n"/>
      <c r="E7" s="4" t="n"/>
      <c r="F7" s="4" t="n"/>
      <c r="G7" s="4" t="n"/>
      <c r="H7" s="4" t="n"/>
      <c r="I7" s="4" t="n"/>
      <c r="J7" s="4" t="n"/>
    </row>
    <row r="8" ht="20" customHeight="1">
      <c r="A8" s="4" t="n"/>
      <c r="B8" s="142" t="inlineStr">
        <is>
          <t>Meses transcurridos del plan</t>
        </is>
      </c>
      <c r="C8" s="108">
        <f>ROUND(MAX(0,(C5-C6)/30.44),1)</f>
        <v>1.8</v>
      </c>
      <c r="D8" s="4" t="n"/>
      <c r="E8" s="4" t="n"/>
      <c r="F8" s="4" t="n"/>
      <c r="G8" s="4" t="n"/>
      <c r="H8" s="4" t="n"/>
      <c r="I8" s="4" t="n"/>
      <c r="J8" s="4" t="n"/>
    </row>
    <row r="9" ht="20" customHeight="1">
      <c r="A9" s="4" t="n"/>
      <c r="B9" s="142" t="inlineStr">
        <is>
          <t>Avance esperado del plan profesional a la fecha</t>
        </is>
      </c>
      <c r="C9" s="145">
        <f>MIN(1,C8/C7)</f>
        <v>0.15</v>
      </c>
      <c r="D9" s="4" t="n"/>
      <c r="E9" s="4" t="n"/>
      <c r="F9" s="4" t="n"/>
      <c r="G9" s="4" t="n"/>
      <c r="H9" s="4" t="n"/>
      <c r="I9" s="4" t="n"/>
      <c r="J9" s="4" t="n"/>
    </row>
    <row r="10" ht="20" customHeight="1">
      <c r="A10" s="4" t="n"/>
      <c r="B10" s="4" t="n"/>
      <c r="C10" s="4" t="n"/>
      <c r="D10" s="4" t="n"/>
      <c r="E10" s="4" t="n"/>
      <c r="F10" s="4" t="n"/>
      <c r="G10" s="4" t="n"/>
      <c r="H10" s="4" t="n"/>
      <c r="I10" s="4" t="n"/>
      <c r="J10" s="4" t="n"/>
    </row>
    <row r="11" ht="30" customHeight="1">
      <c r="A11" s="4" t="n"/>
      <c r="B11" s="92" t="inlineStr">
        <is>
          <t>Indicador</t>
        </is>
      </c>
      <c r="C11" s="92" t="inlineStr">
        <is>
          <t>Verde: en meta desde</t>
        </is>
      </c>
      <c r="D11" s="92" t="inlineStr">
        <is>
          <t>Amarillo: en riesgo desde</t>
        </is>
      </c>
      <c r="E11" s="92" t="inlineStr">
        <is>
          <t>Rojo: bajo rendimiento</t>
        </is>
      </c>
      <c r="F11" s="4" t="n"/>
      <c r="G11" s="4" t="n"/>
      <c r="H11" s="4" t="n"/>
      <c r="I11" s="4" t="n"/>
      <c r="J11" s="4" t="n"/>
    </row>
    <row r="12" ht="20" customHeight="1">
      <c r="A12" s="4" t="n"/>
      <c r="B12" s="142" t="inlineStr">
        <is>
          <t>Cumplimiento del horario (Obj. 1)</t>
        </is>
      </c>
      <c r="C12" s="146" t="n">
        <v>0.8</v>
      </c>
      <c r="D12" s="146" t="n">
        <v>0.6</v>
      </c>
      <c r="E12" s="147">
        <f>D12</f>
        <v>0.6</v>
      </c>
      <c r="F12" s="4" t="n"/>
      <c r="G12" s="4" t="n"/>
      <c r="H12" s="4" t="n"/>
      <c r="I12" s="4" t="n"/>
      <c r="J12" s="4" t="n"/>
    </row>
    <row r="13" ht="20" customHeight="1">
      <c r="A13" s="4" t="n"/>
      <c r="B13" s="142" t="inlineStr">
        <is>
          <t>Días de estudio por semana (Obj. 1)</t>
        </is>
      </c>
      <c r="C13" s="144" t="n">
        <v>5</v>
      </c>
      <c r="D13" s="144" t="n">
        <v>4</v>
      </c>
      <c r="E13" s="148">
        <f>D13</f>
        <v>4</v>
      </c>
      <c r="F13" s="4" t="n"/>
      <c r="G13" s="4" t="n"/>
      <c r="H13" s="4" t="n"/>
      <c r="I13" s="4" t="n"/>
      <c r="J13" s="4" t="n"/>
    </row>
    <row r="14" ht="20" customHeight="1">
      <c r="A14" s="4" t="n"/>
      <c r="B14" s="142" t="inlineStr">
        <is>
          <t>Tareas entregadas a tiempo (Obj. 2)</t>
        </is>
      </c>
      <c r="C14" s="146" t="n">
        <v>0.9</v>
      </c>
      <c r="D14" s="146" t="n">
        <v>0.75</v>
      </c>
      <c r="E14" s="147">
        <f>D14</f>
        <v>0.75</v>
      </c>
      <c r="F14" s="4" t="n"/>
      <c r="G14" s="4" t="n"/>
      <c r="H14" s="4" t="n"/>
      <c r="I14" s="4" t="n"/>
      <c r="J14" s="4" t="n"/>
    </row>
    <row r="15" ht="20" customHeight="1">
      <c r="A15" s="4" t="n"/>
      <c r="B15" s="142" t="inlineStr">
        <is>
          <t>Promedio de calificaciones, escala 0 a 10 (Obj. 2)</t>
        </is>
      </c>
      <c r="C15" s="149" t="n">
        <v>8.5</v>
      </c>
      <c r="D15" s="149" t="n">
        <v>7</v>
      </c>
      <c r="E15" s="150">
        <f>D15</f>
        <v>7</v>
      </c>
      <c r="F15" s="4" t="n"/>
      <c r="G15" s="4" t="n"/>
      <c r="H15" s="4" t="n"/>
      <c r="I15" s="4" t="n"/>
      <c r="J15" s="4" t="n"/>
    </row>
    <row r="16" ht="20" customHeight="1">
      <c r="A16" s="4" t="n"/>
      <c r="B16" s="142" t="inlineStr">
        <is>
          <t>Avance del plan profesional vs. avance esperado (Obj. 3)</t>
        </is>
      </c>
      <c r="C16" s="146" t="n">
        <v>1</v>
      </c>
      <c r="D16" s="146" t="n">
        <v>0.7</v>
      </c>
      <c r="E16" s="151">
        <f>D16</f>
        <v>0.7</v>
      </c>
      <c r="F16" s="4" t="n"/>
      <c r="G16" s="4" t="n"/>
      <c r="H16" s="4" t="n"/>
      <c r="I16" s="4" t="n"/>
      <c r="J16" s="4" t="n"/>
    </row>
    <row r="17">
      <c r="A17" s="4" t="n"/>
      <c r="B17" s="4" t="n"/>
      <c r="C17" s="4" t="n"/>
      <c r="D17" s="4" t="n"/>
      <c r="E17" s="4" t="n"/>
      <c r="F17" s="4" t="n"/>
      <c r="G17" s="4" t="n"/>
      <c r="H17" s="4" t="n"/>
      <c r="I17" s="4" t="n"/>
      <c r="J17" s="4" t="n"/>
    </row>
    <row r="18" ht="24" customHeight="1">
      <c r="A18" s="4" t="n"/>
      <c r="B18" s="141" t="inlineStr">
        <is>
          <t>2. OBJETIVO 1 · HORARIO SEMANAL DE ESTUDIO (12 semanas)</t>
        </is>
      </c>
      <c r="J18" s="4" t="n"/>
    </row>
    <row r="19" ht="32" customHeight="1">
      <c r="A19" s="4" t="n"/>
      <c r="B19" s="92" t="inlineStr">
        <is>
          <t>Semana</t>
        </is>
      </c>
      <c r="C19" s="92" t="inlineStr">
        <is>
          <t>Inicio de semana</t>
        </is>
      </c>
      <c r="D19" s="92" t="inlineStr">
        <is>
          <t>Bloques planificados</t>
        </is>
      </c>
      <c r="E19" s="92" t="inlineStr">
        <is>
          <t>Bloques realizados</t>
        </is>
      </c>
      <c r="F19" s="92" t="inlineStr">
        <is>
          <t>Días de estudio</t>
        </is>
      </c>
      <c r="G19" s="92" t="inlineStr">
        <is>
          <t>¿Revisé el horario el domingo?</t>
        </is>
      </c>
      <c r="H19" s="92" t="inlineStr">
        <is>
          <t>% de cumplimiento</t>
        </is>
      </c>
      <c r="I19" s="92" t="inlineStr">
        <is>
          <t>Estado</t>
        </is>
      </c>
      <c r="J19" s="4" t="n"/>
    </row>
    <row r="20" ht="20" customHeight="1">
      <c r="A20" s="4" t="n"/>
      <c r="B20" s="152" t="inlineStr">
        <is>
          <t>Semana 1</t>
        </is>
      </c>
      <c r="C20" s="153">
        <f>$C$6+7*0</f>
        <v>46265.0</v>
      </c>
      <c r="D20" s="154" t="n">
        <v>10</v>
      </c>
      <c r="E20" s="154" t="n">
        <v>5</v>
      </c>
      <c r="F20" s="154" t="n">
        <v>3</v>
      </c>
      <c r="G20" s="154" t="inlineStr">
        <is>
          <t>No</t>
        </is>
      </c>
      <c r="H20" s="97">
        <f>IF(OR(E20="",D20=0),"",E20/D20)</f>
        <v>0.5</v>
      </c>
      <c r="I20" s="155" t="str">
        <f>IF(H20="","Pendiente",IF(H20&gt;=$C$12,"En meta",IF(H20&gt;=$D$12,"En riesgo","Bajo rendimiento")))</f>
        <v>Bajo rendimiento</v>
      </c>
      <c r="J20" s="4" t="n"/>
    </row>
    <row r="21" ht="20" customHeight="1">
      <c r="A21" s="4" t="n"/>
      <c r="B21" s="152" t="inlineStr">
        <is>
          <t>Semana 2</t>
        </is>
      </c>
      <c r="C21" s="153">
        <f>$C$6+7*1</f>
        <v>46272.0</v>
      </c>
      <c r="D21" s="154" t="n">
        <v>10</v>
      </c>
      <c r="E21" s="154" t="n">
        <v>7</v>
      </c>
      <c r="F21" s="154" t="n">
        <v>4</v>
      </c>
      <c r="G21" s="154" t="inlineStr">
        <is>
          <t>Sí</t>
        </is>
      </c>
      <c r="H21" s="97">
        <f>IF(OR(E21="",D21=0),"",E21/D21)</f>
        <v>0.7</v>
      </c>
      <c r="I21" s="155" t="str">
        <f>IF(H21="","Pendiente",IF(H21&gt;=$C$12,"En meta",IF(H21&gt;=$D$12,"En riesgo","Bajo rendimiento")))</f>
        <v>En riesgo</v>
      </c>
      <c r="J21" s="4" t="n"/>
    </row>
    <row r="22" ht="20" customHeight="1">
      <c r="A22" s="4" t="n"/>
      <c r="B22" s="152" t="inlineStr">
        <is>
          <t>Semana 3</t>
        </is>
      </c>
      <c r="C22" s="153">
        <f>$C$6+7*2</f>
        <v>46279.0</v>
      </c>
      <c r="D22" s="154" t="n">
        <v>10</v>
      </c>
      <c r="E22" s="154" t="n">
        <v>8</v>
      </c>
      <c r="F22" s="154" t="n">
        <v>5</v>
      </c>
      <c r="G22" s="154" t="inlineStr">
        <is>
          <t>Sí</t>
        </is>
      </c>
      <c r="H22" s="97">
        <f>IF(OR(E22="",D22=0),"",E22/D22)</f>
        <v>0.8</v>
      </c>
      <c r="I22" s="155" t="str">
        <f>IF(H22="","Pendiente",IF(H22&gt;=$C$12,"En meta",IF(H22&gt;=$D$12,"En riesgo","Bajo rendimiento")))</f>
        <v>En meta</v>
      </c>
      <c r="J22" s="4" t="n"/>
    </row>
    <row r="23" ht="20" customHeight="1">
      <c r="A23" s="4" t="n"/>
      <c r="B23" s="152" t="inlineStr">
        <is>
          <t>Semana 4</t>
        </is>
      </c>
      <c r="C23" s="153">
        <f>$C$6+7*3</f>
        <v>46286.0</v>
      </c>
      <c r="D23" s="154" t="n">
        <v>10</v>
      </c>
      <c r="E23" s="154" t="n">
        <v>9</v>
      </c>
      <c r="F23" s="154" t="n">
        <v>5</v>
      </c>
      <c r="G23" s="154" t="inlineStr">
        <is>
          <t>Sí</t>
        </is>
      </c>
      <c r="H23" s="97">
        <f>IF(OR(E23="",D23=0),"",E23/D23)</f>
        <v>0.9</v>
      </c>
      <c r="I23" s="155" t="str">
        <f>IF(H23="","Pendiente",IF(H23&gt;=$C$12,"En meta",IF(H23&gt;=$D$12,"En riesgo","Bajo rendimiento")))</f>
        <v>En meta</v>
      </c>
      <c r="J23" s="4" t="n"/>
    </row>
    <row r="24" ht="20" customHeight="1">
      <c r="A24" s="4" t="n"/>
      <c r="B24" s="152" t="inlineStr">
        <is>
          <t>Semana 5</t>
        </is>
      </c>
      <c r="C24" s="153">
        <f>$C$6+7*4</f>
        <v>46293.0</v>
      </c>
      <c r="D24" s="154" t="n">
        <v>10</v>
      </c>
      <c r="E24" s="154" t="n">
        <v>7</v>
      </c>
      <c r="F24" s="154" t="n">
        <v>4</v>
      </c>
      <c r="G24" s="154" t="inlineStr">
        <is>
          <t>No</t>
        </is>
      </c>
      <c r="H24" s="97">
        <f>IF(OR(E24="",D24=0),"",E24/D24)</f>
        <v>0.7</v>
      </c>
      <c r="I24" s="155" t="str">
        <f>IF(H24="","Pendiente",IF(H24&gt;=$C$12,"En meta",IF(H24&gt;=$D$12,"En riesgo","Bajo rendimiento")))</f>
        <v>En riesgo</v>
      </c>
      <c r="J24" s="4" t="n"/>
    </row>
    <row r="25" ht="20" customHeight="1">
      <c r="A25" s="4" t="n"/>
      <c r="B25" s="152" t="inlineStr">
        <is>
          <t>Semana 6</t>
        </is>
      </c>
      <c r="C25" s="153">
        <f>$C$6+7*5</f>
        <v>46300.0</v>
      </c>
      <c r="D25" s="154" t="n">
        <v>10</v>
      </c>
      <c r="E25" s="154" t="n">
        <v>9</v>
      </c>
      <c r="F25" s="154" t="n">
        <v>5</v>
      </c>
      <c r="G25" s="154" t="inlineStr">
        <is>
          <t>Sí</t>
        </is>
      </c>
      <c r="H25" s="97">
        <f>IF(OR(E25="",D25=0),"",E25/D25)</f>
        <v>0.9</v>
      </c>
      <c r="I25" s="155" t="str">
        <f>IF(H25="","Pendiente",IF(H25&gt;=$C$12,"En meta",IF(H25&gt;=$D$12,"En riesgo","Bajo rendimiento")))</f>
        <v>En meta</v>
      </c>
      <c r="J25" s="4" t="n"/>
    </row>
    <row r="26" ht="20" customHeight="1">
      <c r="A26" s="4" t="n"/>
      <c r="B26" s="152" t="inlineStr">
        <is>
          <t>Semana 7</t>
        </is>
      </c>
      <c r="C26" s="153">
        <f>$C$6+7*6</f>
        <v>46307.0</v>
      </c>
      <c r="D26" s="154" t="n">
        <v>10</v>
      </c>
      <c r="E26" s="154" t="n">
        <v>10</v>
      </c>
      <c r="F26" s="154" t="n">
        <v>5</v>
      </c>
      <c r="G26" s="154" t="inlineStr">
        <is>
          <t>Sí</t>
        </is>
      </c>
      <c r="H26" s="97">
        <f>IF(OR(E26="",D26=0),"",E26/D26)</f>
        <v>1</v>
      </c>
      <c r="I26" s="155" t="str">
        <f>IF(H26="","Pendiente",IF(H26&gt;=$C$12,"En meta",IF(H26&gt;=$D$12,"En riesgo","Bajo rendimiento")))</f>
        <v>En meta</v>
      </c>
      <c r="J26" s="4" t="n"/>
    </row>
    <row r="27" ht="20" customHeight="1">
      <c r="A27" s="4" t="n"/>
      <c r="B27" s="152" t="inlineStr">
        <is>
          <t>Semana 8</t>
        </is>
      </c>
      <c r="C27" s="153">
        <f>$C$6+7*7</f>
        <v>46314.0</v>
      </c>
      <c r="D27" s="154" t="n">
        <v>10</v>
      </c>
      <c r="E27" s="154" t="n">
        <v>10</v>
      </c>
      <c r="F27" s="154" t="n">
        <v>5</v>
      </c>
      <c r="G27" s="154" t="inlineStr">
        <is>
          <t>Sí</t>
        </is>
      </c>
      <c r="H27" s="97">
        <f>IF(OR(E27="",D27=0),"",E27/D27)</f>
        <v>1</v>
      </c>
      <c r="I27" s="155" t="str">
        <f>IF(H27="","Pendiente",IF(H27&gt;=$C$12,"En meta",IF(H27&gt;=$D$12,"En riesgo","Bajo rendimiento")))</f>
        <v>En meta</v>
      </c>
      <c r="J27" s="4" t="n"/>
    </row>
    <row r="28" ht="20" customHeight="1">
      <c r="A28" s="4" t="n"/>
      <c r="B28" s="152" t="inlineStr">
        <is>
          <t>Semana 9</t>
        </is>
      </c>
      <c r="C28" s="153">
        <f>$C$6+7*8</f>
        <v>46321.0</v>
      </c>
      <c r="D28" s="154" t="n">
        <v>10</v>
      </c>
      <c r="E28" s="154" t="n"/>
      <c r="F28" s="154" t="n"/>
      <c r="G28" s="154" t="n"/>
      <c r="H28" s="97" t="str">
        <f>IF(OR(E28="",D28=0),"",E28/D28)</f>
        <v/>
      </c>
      <c r="I28" s="155" t="str">
        <f>IF(H28="","Pendiente",IF(H28&gt;=$C$12,"En meta",IF(H28&gt;=$D$12,"En riesgo","Bajo rendimiento")))</f>
        <v>Pendiente</v>
      </c>
      <c r="J28" s="4" t="n"/>
    </row>
    <row r="29" ht="20" customHeight="1">
      <c r="A29" s="4" t="n"/>
      <c r="B29" s="152" t="inlineStr">
        <is>
          <t>Semana 10</t>
        </is>
      </c>
      <c r="C29" s="153">
        <f>$C$6+7*9</f>
        <v>46328.0</v>
      </c>
      <c r="D29" s="154" t="n">
        <v>10</v>
      </c>
      <c r="E29" s="154" t="n"/>
      <c r="F29" s="154" t="n"/>
      <c r="G29" s="154" t="n"/>
      <c r="H29" s="97" t="str">
        <f>IF(OR(E29="",D29=0),"",E29/D29)</f>
        <v/>
      </c>
      <c r="I29" s="155" t="str">
        <f>IF(H29="","Pendiente",IF(H29&gt;=$C$12,"En meta",IF(H29&gt;=$D$12,"En riesgo","Bajo rendimiento")))</f>
        <v>Pendiente</v>
      </c>
      <c r="J29" s="4" t="n"/>
    </row>
    <row r="30" ht="20" customHeight="1">
      <c r="A30" s="4" t="n"/>
      <c r="B30" s="152" t="inlineStr">
        <is>
          <t>Semana 11</t>
        </is>
      </c>
      <c r="C30" s="153">
        <f>$C$6+7*10</f>
        <v>46335.0</v>
      </c>
      <c r="D30" s="154" t="n">
        <v>10</v>
      </c>
      <c r="E30" s="154" t="n"/>
      <c r="F30" s="154" t="n"/>
      <c r="G30" s="154" t="n"/>
      <c r="H30" s="97" t="str">
        <f>IF(OR(E30="",D30=0),"",E30/D30)</f>
        <v/>
      </c>
      <c r="I30" s="155" t="str">
        <f>IF(H30="","Pendiente",IF(H30&gt;=$C$12,"En meta",IF(H30&gt;=$D$12,"En riesgo","Bajo rendimiento")))</f>
        <v>Pendiente</v>
      </c>
      <c r="J30" s="4" t="n"/>
    </row>
    <row r="31" ht="20" customHeight="1">
      <c r="A31" s="4" t="n"/>
      <c r="B31" s="152" t="inlineStr">
        <is>
          <t>Semana 12</t>
        </is>
      </c>
      <c r="C31" s="153">
        <f>$C$6+7*11</f>
        <v>46342.0</v>
      </c>
      <c r="D31" s="154" t="n">
        <v>10</v>
      </c>
      <c r="E31" s="154" t="n"/>
      <c r="F31" s="154" t="n"/>
      <c r="G31" s="154" t="n"/>
      <c r="H31" s="97" t="str">
        <f>IF(OR(E31="",D31=0),"",E31/D31)</f>
        <v/>
      </c>
      <c r="I31" s="155" t="str">
        <f>IF(H31="","Pendiente",IF(H31&gt;=$C$12,"En meta",IF(H31&gt;=$D$12,"En riesgo","Bajo rendimiento")))</f>
        <v>Pendiente</v>
      </c>
      <c r="J31" s="4" t="n"/>
    </row>
    <row r="32" ht="20" customHeight="1">
      <c r="A32" s="4" t="n"/>
      <c r="B32" s="156" t="inlineStr">
        <is>
          <t>Total de las semanas registradas</t>
        </is>
      </c>
      <c r="C32" s="157" t="str">
        <f>COUNT(E20:E31)&amp;" de 12"</f>
        <v>8 de 12</v>
      </c>
      <c r="D32" s="157">
        <f>SUMPRODUCT((E20:E31&lt;&gt;"")*D20:D31)</f>
        <v>80</v>
      </c>
      <c r="E32" s="157">
        <f>SUM(E20:E31)</f>
        <v>65</v>
      </c>
      <c r="F32" s="158">
        <f>IFERROR(AVERAGE(F20:F31),0)</f>
        <v>4.5</v>
      </c>
      <c r="G32" s="159">
        <f>COUNTIF(G20:G31,"Sí")</f>
        <v>6</v>
      </c>
      <c r="H32" s="160">
        <f>IF(D32=0,0,E32/D32)</f>
        <v>0.8125</v>
      </c>
      <c r="I32" s="161" t="str">
        <f>IF(H32&gt;=$C$12,"En meta",IF(H32&gt;=$D$12,"En riesgo","Bajo rendimiento"))</f>
        <v>En meta</v>
      </c>
      <c r="J32" s="4" t="n"/>
    </row>
    <row r="33">
      <c r="A33" s="4" t="n"/>
      <c r="B33" s="4" t="n"/>
      <c r="C33" s="4" t="n"/>
      <c r="D33" s="4" t="n"/>
      <c r="E33" s="4" t="n"/>
      <c r="F33" s="4" t="n"/>
      <c r="G33" s="4" t="n"/>
      <c r="H33" s="4" t="n"/>
      <c r="I33" s="4" t="n"/>
      <c r="J33" s="4" t="n"/>
    </row>
    <row r="34" ht="24" customHeight="1">
      <c r="A34" s="4" t="n"/>
      <c r="B34" s="141" t="inlineStr">
        <is>
          <t>3. OBJETIVO 2 · CALIFICACIONES POR ASIGNATURA (escala 0 a 10)</t>
        </is>
      </c>
      <c r="J34" s="4" t="n"/>
    </row>
    <row r="35" ht="32" customHeight="1">
      <c r="A35" s="4" t="n"/>
      <c r="B35" s="92" t="inlineStr">
        <is>
          <t>Asignatura</t>
        </is>
      </c>
      <c r="C35" s="92" t="inlineStr">
        <is>
          <t>Parcial 1</t>
        </is>
      </c>
      <c r="D35" s="92" t="inlineStr">
        <is>
          <t>Parcial 2</t>
        </is>
      </c>
      <c r="E35" s="92" t="inlineStr">
        <is>
          <t>Parcial 3 / Final</t>
        </is>
      </c>
      <c r="F35" s="92" t="inlineStr">
        <is>
          <t>Promedio</t>
        </is>
      </c>
      <c r="G35" s="92" t="inlineStr">
        <is>
          <t>Variación (último parcial − parcial 1)</t>
        </is>
      </c>
      <c r="H35" s="92" t="inlineStr">
        <is>
          <t>Estado</t>
        </is>
      </c>
      <c r="I35" s="4" t="n"/>
      <c r="J35" s="4" t="n"/>
    </row>
    <row r="36" ht="20" customHeight="1">
      <c r="A36" s="4" t="n"/>
      <c r="B36" s="162" t="inlineStr">
        <is>
          <t>Matemáticas</t>
        </is>
      </c>
      <c r="C36" s="149" t="n">
        <v>6.2</v>
      </c>
      <c r="D36" s="149" t="n">
        <v>7</v>
      </c>
      <c r="E36" s="149" t="n"/>
      <c r="F36" s="104">
        <f>IF(COUNT(C36:E36)=0,"",AVERAGE(C36:E36))</f>
        <v>6.6</v>
      </c>
      <c r="G36" s="163">
        <f>IFERROR(IF(COUNT(C36:E36)&lt;2,"",IF(E36&lt;&gt;"",E36,D36)-C36),"")</f>
        <v>0.8</v>
      </c>
      <c r="H36" s="155" t="str">
        <f>IF(F36="","Pendiente",IF(F36&gt;=$C$15,"En meta",IF(F36&gt;=$D$15,"En riesgo","Bajo rendimiento")))</f>
        <v>Bajo rendimiento</v>
      </c>
      <c r="I36" s="4" t="n"/>
      <c r="J36" s="4" t="n"/>
    </row>
    <row r="37" ht="20" customHeight="1">
      <c r="A37" s="4" t="n"/>
      <c r="B37" s="162" t="inlineStr">
        <is>
          <t>Comunicación oral y escrita</t>
        </is>
      </c>
      <c r="C37" s="149" t="n">
        <v>8.9</v>
      </c>
      <c r="D37" s="149" t="n">
        <v>9.300000000000001</v>
      </c>
      <c r="E37" s="149" t="n"/>
      <c r="F37" s="104">
        <f>IF(COUNT(C37:E37)=0,"",AVERAGE(C37:E37))</f>
        <v>9.1</v>
      </c>
      <c r="G37" s="163">
        <f>IFERROR(IF(COUNT(C37:E37)&lt;2,"",IF(E37&lt;&gt;"",E37,D37)-C37),"")</f>
        <v>0.4</v>
      </c>
      <c r="H37" s="155" t="str">
        <f>IF(F37="","Pendiente",IF(F37&gt;=$C$15,"En meta",IF(F37&gt;=$D$15,"En riesgo","Bajo rendimiento")))</f>
        <v>En meta</v>
      </c>
      <c r="I37" s="4" t="n"/>
      <c r="J37" s="4" t="n"/>
    </row>
    <row r="38" ht="20" customHeight="1">
      <c r="A38" s="4" t="n"/>
      <c r="B38" s="162" t="inlineStr">
        <is>
          <t>Inglés</t>
        </is>
      </c>
      <c r="C38" s="149" t="n">
        <v>8</v>
      </c>
      <c r="D38" s="149" t="n">
        <v>7.8</v>
      </c>
      <c r="E38" s="149" t="n"/>
      <c r="F38" s="104">
        <f>IF(COUNT(C38:E38)=0,"",AVERAGE(C38:E38))</f>
        <v>7.9</v>
      </c>
      <c r="G38" s="163">
        <f>IFERROR(IF(COUNT(C38:E38)&lt;2,"",IF(E38&lt;&gt;"",E38,D38)-C38),"")</f>
        <v>-0.2</v>
      </c>
      <c r="H38" s="155" t="str">
        <f>IF(F38="","Pendiente",IF(F38&gt;=$C$15,"En meta",IF(F38&gt;=$D$15,"En riesgo","Bajo rendimiento")))</f>
        <v>En riesgo</v>
      </c>
      <c r="I38" s="4" t="n"/>
      <c r="J38" s="4" t="n"/>
    </row>
    <row r="39" ht="20" customHeight="1">
      <c r="A39" s="4" t="n"/>
      <c r="B39" s="162" t="inlineStr">
        <is>
          <t>Tecnologías de información</t>
        </is>
      </c>
      <c r="C39" s="149" t="n">
        <v>8.800000000000001</v>
      </c>
      <c r="D39" s="149" t="n">
        <v>9.199999999999999</v>
      </c>
      <c r="E39" s="149" t="n"/>
      <c r="F39" s="104">
        <f>IF(COUNT(C39:E39)=0,"",AVERAGE(C39:E39))</f>
        <v>9</v>
      </c>
      <c r="G39" s="163">
        <f>IFERROR(IF(COUNT(C39:E39)&lt;2,"",IF(E39&lt;&gt;"",E39,D39)-C39),"")</f>
        <v>0.399999999999999</v>
      </c>
      <c r="H39" s="155" t="str">
        <f>IF(F39="","Pendiente",IF(F39&gt;=$C$15,"En meta",IF(F39&gt;=$D$15,"En riesgo","Bajo rendimiento")))</f>
        <v>En meta</v>
      </c>
      <c r="I39" s="4" t="n"/>
      <c r="J39" s="4" t="n"/>
    </row>
    <row r="40" ht="20" customHeight="1">
      <c r="A40" s="4" t="n"/>
      <c r="B40" s="162" t="inlineStr">
        <is>
          <t>Desarrollo humano</t>
        </is>
      </c>
      <c r="C40" s="149" t="n">
        <v>9.5</v>
      </c>
      <c r="D40" s="149" t="n">
        <v>9.6</v>
      </c>
      <c r="E40" s="149" t="n"/>
      <c r="F40" s="104">
        <f>IF(COUNT(C40:E40)=0,"",AVERAGE(C40:E40))</f>
        <v>9.55</v>
      </c>
      <c r="G40" s="163">
        <f>IFERROR(IF(COUNT(C40:E40)&lt;2,"",IF(E40&lt;&gt;"",E40,D40)-C40),"")</f>
        <v>0.0999999999999996</v>
      </c>
      <c r="H40" s="155" t="str">
        <f>IF(F40="","Pendiente",IF(F40&gt;=$C$15,"En meta",IF(F40&gt;=$D$15,"En riesgo","Bajo rendimiento")))</f>
        <v>En meta</v>
      </c>
      <c r="I40" s="4" t="n"/>
      <c r="J40" s="4" t="n"/>
    </row>
    <row r="41" ht="20" customHeight="1">
      <c r="A41" s="4" t="n"/>
      <c r="B41" s="156" t="inlineStr">
        <is>
          <t>Promedio general (por evaluación)</t>
        </is>
      </c>
      <c r="C41" s="113">
        <f>IFERROR(AVERAGE(C36:C40),"")</f>
        <v>8.28</v>
      </c>
      <c r="D41" s="113">
        <f>IFERROR(AVERAGE(D36:D40),"")</f>
        <v>8.58</v>
      </c>
      <c r="E41" s="113" t="str">
        <f>IFERROR(AVERAGE(E36:E40),"")</f>
        <v/>
      </c>
      <c r="F41" s="113">
        <f>IFERROR(AVERAGE(F36:F40),0)</f>
        <v>8.43</v>
      </c>
      <c r="G41" s="164">
        <f>IFERROR(IF(COUNT(C41:E41)&lt;2,"",IF(E41&lt;&gt;"",E41,D41)-C41),"")</f>
        <v>0.300000000000001</v>
      </c>
      <c r="H41" s="161" t="str">
        <f>IF(F41&gt;=$C$15,"En meta",IF(F41&gt;=$D$15,"En riesgo","Bajo rendimiento"))</f>
        <v>En riesgo</v>
      </c>
      <c r="I41" s="4" t="n"/>
      <c r="J41" s="4" t="n"/>
    </row>
    <row r="42">
      <c r="A42" s="4" t="n"/>
      <c r="B42" s="4" t="n"/>
      <c r="C42" s="4" t="n"/>
      <c r="D42" s="4" t="n"/>
      <c r="E42" s="4" t="n"/>
      <c r="F42" s="4" t="n"/>
      <c r="G42" s="4" t="n"/>
      <c r="H42" s="4" t="n"/>
      <c r="I42" s="4" t="n"/>
      <c r="J42" s="4" t="n"/>
    </row>
    <row r="43" ht="24" customHeight="1">
      <c r="A43" s="4" t="n"/>
      <c r="B43" s="141" t="inlineStr">
        <is>
          <t>4. OBJETIVO 2 · ENTREGA DE TAREAS</t>
        </is>
      </c>
      <c r="J43" s="4" t="n"/>
    </row>
    <row r="44" ht="32" customHeight="1">
      <c r="A44" s="4" t="n"/>
      <c r="B44" s="92" t="inlineStr">
        <is>
          <t>Asignatura</t>
        </is>
      </c>
      <c r="C44" s="92" t="inlineStr">
        <is>
          <t>Tareas asignadas</t>
        </is>
      </c>
      <c r="D44" s="92" t="inlineStr">
        <is>
          <t>Entregadas a tiempo</t>
        </is>
      </c>
      <c r="E44" s="92" t="inlineStr">
        <is>
          <t>Entregadas con retraso</t>
        </is>
      </c>
      <c r="F44" s="92" t="inlineStr">
        <is>
          <t>No entregadas</t>
        </is>
      </c>
      <c r="G44" s="92" t="inlineStr">
        <is>
          <t>% a tiempo</t>
        </is>
      </c>
      <c r="H44" s="92" t="inlineStr">
        <is>
          <t>Estado</t>
        </is>
      </c>
      <c r="I44" s="4" t="n"/>
      <c r="J44" s="4" t="n"/>
    </row>
    <row r="45" ht="20" customHeight="1">
      <c r="A45" s="4" t="n"/>
      <c r="B45" s="152" t="str">
        <f>B36</f>
        <v>Matemáticas</v>
      </c>
      <c r="C45" s="154" t="n">
        <v>10</v>
      </c>
      <c r="D45" s="154" t="n">
        <v>7</v>
      </c>
      <c r="E45" s="154" t="n">
        <v>2</v>
      </c>
      <c r="F45" s="165">
        <f>MAX(0,C45-D45-E45)</f>
        <v>1</v>
      </c>
      <c r="G45" s="97">
        <f>IF(C45=0,"",D45/C45)</f>
        <v>0.7</v>
      </c>
      <c r="H45" s="155" t="str">
        <f>IF(G45="","Pendiente",IF(G45&gt;=$C$14,"En meta",IF(G45&gt;=$D$14,"En riesgo","Bajo rendimiento")))</f>
        <v>Bajo rendimiento</v>
      </c>
      <c r="I45" s="4" t="n"/>
      <c r="J45" s="4" t="n"/>
    </row>
    <row r="46" ht="20" customHeight="1">
      <c r="A46" s="4" t="n"/>
      <c r="B46" s="152" t="str">
        <f>B37</f>
        <v>Comunicación oral y escrita</v>
      </c>
      <c r="C46" s="154" t="n">
        <v>8</v>
      </c>
      <c r="D46" s="154" t="n">
        <v>8</v>
      </c>
      <c r="E46" s="154" t="n">
        <v>0</v>
      </c>
      <c r="F46" s="165">
        <f>MAX(0,C46-D46-E46)</f>
        <v>0</v>
      </c>
      <c r="G46" s="97">
        <f>IF(C46=0,"",D46/C46)</f>
        <v>1</v>
      </c>
      <c r="H46" s="155" t="str">
        <f>IF(G46="","Pendiente",IF(G46&gt;=$C$14,"En meta",IF(G46&gt;=$D$14,"En riesgo","Bajo rendimiento")))</f>
        <v>En meta</v>
      </c>
      <c r="I46" s="4" t="n"/>
      <c r="J46" s="4" t="n"/>
    </row>
    <row r="47" ht="20" customHeight="1">
      <c r="A47" s="4" t="n"/>
      <c r="B47" s="152" t="str">
        <f>B38</f>
        <v>Inglés</v>
      </c>
      <c r="C47" s="154" t="n">
        <v>9</v>
      </c>
      <c r="D47" s="154" t="n">
        <v>7</v>
      </c>
      <c r="E47" s="154" t="n">
        <v>1</v>
      </c>
      <c r="F47" s="165">
        <f>MAX(0,C47-D47-E47)</f>
        <v>1</v>
      </c>
      <c r="G47" s="97">
        <f>IF(C47=0,"",D47/C47)</f>
        <v>0.777777777777778</v>
      </c>
      <c r="H47" s="155" t="str">
        <f>IF(G47="","Pendiente",IF(G47&gt;=$C$14,"En meta",IF(G47&gt;=$D$14,"En riesgo","Bajo rendimiento")))</f>
        <v>En riesgo</v>
      </c>
      <c r="I47" s="4" t="n"/>
      <c r="J47" s="4" t="n"/>
    </row>
    <row r="48" ht="20" customHeight="1">
      <c r="A48" s="4" t="n"/>
      <c r="B48" s="152" t="str">
        <f>B39</f>
        <v>Tecnologías de información</v>
      </c>
      <c r="C48" s="154" t="n">
        <v>7</v>
      </c>
      <c r="D48" s="154" t="n">
        <v>6</v>
      </c>
      <c r="E48" s="154" t="n">
        <v>1</v>
      </c>
      <c r="F48" s="165">
        <f>MAX(0,C48-D48-E48)</f>
        <v>0</v>
      </c>
      <c r="G48" s="97">
        <f>IF(C48=0,"",D48/C48)</f>
        <v>0.857142857142857</v>
      </c>
      <c r="H48" s="155" t="str">
        <f>IF(G48="","Pendiente",IF(G48&gt;=$C$14,"En meta",IF(G48&gt;=$D$14,"En riesgo","Bajo rendimiento")))</f>
        <v>En riesgo</v>
      </c>
      <c r="I48" s="4" t="n"/>
      <c r="J48" s="4" t="n"/>
    </row>
    <row r="49" ht="20" customHeight="1">
      <c r="A49" s="4" t="n"/>
      <c r="B49" s="152" t="str">
        <f>B40</f>
        <v>Desarrollo humano</v>
      </c>
      <c r="C49" s="154" t="n">
        <v>6</v>
      </c>
      <c r="D49" s="154" t="n">
        <v>6</v>
      </c>
      <c r="E49" s="154" t="n">
        <v>0</v>
      </c>
      <c r="F49" s="165">
        <f>MAX(0,C49-D49-E49)</f>
        <v>0</v>
      </c>
      <c r="G49" s="97">
        <f>IF(C49=0,"",D49/C49)</f>
        <v>1</v>
      </c>
      <c r="H49" s="155" t="str">
        <f>IF(G49="","Pendiente",IF(G49&gt;=$C$14,"En meta",IF(G49&gt;=$D$14,"En riesgo","Bajo rendimiento")))</f>
        <v>En meta</v>
      </c>
      <c r="I49" s="4" t="n"/>
      <c r="J49" s="4" t="n"/>
    </row>
    <row r="50" ht="20" customHeight="1">
      <c r="A50" s="4" t="n"/>
      <c r="B50" s="156" t="inlineStr">
        <is>
          <t>Total</t>
        </is>
      </c>
      <c r="C50" s="157">
        <f>SUM(C45:C49)</f>
        <v>40</v>
      </c>
      <c r="D50" s="157">
        <f>SUM(D45:D49)</f>
        <v>34</v>
      </c>
      <c r="E50" s="157">
        <f>SUM(E45:E49)</f>
        <v>4</v>
      </c>
      <c r="F50" s="157">
        <f>SUM(F45:F49)</f>
        <v>2</v>
      </c>
      <c r="G50" s="160">
        <f>IF(C50=0,0,D50/C50)</f>
        <v>0.85</v>
      </c>
      <c r="H50" s="161" t="str">
        <f>IF(G50&gt;=$C$14,"En meta",IF(G50&gt;=$D$14,"En riesgo","Bajo rendimiento"))</f>
        <v>En riesgo</v>
      </c>
      <c r="I50" s="4" t="n"/>
      <c r="J50" s="4" t="n"/>
    </row>
    <row r="51">
      <c r="A51" s="4" t="n"/>
      <c r="B51" s="4" t="n"/>
      <c r="C51" s="4" t="n"/>
      <c r="D51" s="4" t="n"/>
      <c r="E51" s="4" t="n"/>
      <c r="F51" s="4" t="n"/>
      <c r="G51" s="4" t="n"/>
      <c r="H51" s="4" t="n"/>
      <c r="I51" s="4" t="n"/>
      <c r="J51" s="4" t="n"/>
    </row>
    <row r="52" ht="24" customHeight="1">
      <c r="A52" s="4" t="n"/>
      <c r="B52" s="141" t="inlineStr">
        <is>
          <t>5. OBJETIVO 3 · PLAN DE DESARROLLO PROFESIONAL (12 meses)</t>
        </is>
      </c>
      <c r="J52" s="4" t="n"/>
    </row>
    <row r="53" ht="32" customHeight="1">
      <c r="A53" s="4" t="n"/>
      <c r="B53" s="92" t="inlineStr">
        <is>
          <t>Hito / actividad</t>
        </is>
      </c>
      <c r="C53" s="92" t="inlineStr">
        <is>
          <t>Tipo</t>
        </is>
      </c>
      <c r="D53" s="92" t="inlineStr">
        <is>
          <t>Mes programado</t>
        </is>
      </c>
      <c r="E53" s="92" t="inlineStr">
        <is>
          <t>% de avance</t>
        </is>
      </c>
      <c r="F53" s="92" t="inlineStr">
        <is>
          <t>Estado</t>
        </is>
      </c>
      <c r="G53" s="4" t="n"/>
      <c r="H53" s="4" t="n"/>
      <c r="I53" s="4" t="n"/>
      <c r="J53" s="4" t="n"/>
    </row>
    <row r="54" ht="20" customHeight="1">
      <c r="A54" s="4" t="n"/>
      <c r="B54" s="162" t="inlineStr">
        <is>
          <t>Elegir un curso o taller relacionado con mi carrera</t>
        </is>
      </c>
      <c r="C54" s="154" t="inlineStr">
        <is>
          <t>Planeación</t>
        </is>
      </c>
      <c r="D54" s="144" t="n">
        <v>1</v>
      </c>
      <c r="E54" s="146" t="n">
        <v>1</v>
      </c>
      <c r="F54" s="155" t="str">
        <f>IF(E54&gt;=1,"Completado",IF(E54&gt;0,"En proceso","Pendiente"))</f>
        <v>Completado</v>
      </c>
      <c r="G54" s="4" t="n"/>
      <c r="H54" s="4" t="n"/>
      <c r="I54" s="4" t="n"/>
      <c r="J54" s="4" t="n"/>
    </row>
    <row r="55" ht="20" customHeight="1">
      <c r="A55" s="4" t="n"/>
      <c r="B55" s="162" t="inlineStr">
        <is>
          <t>Completar el curso o taller y obtener la constancia</t>
        </is>
      </c>
      <c r="C55" s="154" t="inlineStr">
        <is>
          <t>Curso</t>
        </is>
      </c>
      <c r="D55" s="144" t="n">
        <v>6</v>
      </c>
      <c r="E55" s="146" t="n">
        <v>0.3</v>
      </c>
      <c r="F55" s="155" t="str">
        <f>IF(E55&gt;=1,"Completado",IF(E55&gt;0,"En proceso","Pendiente"))</f>
        <v>En proceso</v>
      </c>
      <c r="G55" s="4" t="n"/>
      <c r="H55" s="4" t="n"/>
      <c r="I55" s="4" t="n"/>
      <c r="J55" s="4" t="n"/>
    </row>
    <row r="56" ht="20" customHeight="1">
      <c r="A56" s="4" t="n"/>
      <c r="B56" s="162" t="inlineStr">
        <is>
          <t>Actualizar mi currículum con estudios, proyectos y habilidades</t>
        </is>
      </c>
      <c r="C56" s="154" t="inlineStr">
        <is>
          <t>Currículum</t>
        </is>
      </c>
      <c r="D56" s="144" t="n">
        <v>3</v>
      </c>
      <c r="E56" s="146" t="n">
        <v>0.5</v>
      </c>
      <c r="F56" s="155" t="str">
        <f>IF(E56&gt;=1,"Completado",IF(E56&gt;0,"En proceso","Pendiente"))</f>
        <v>En proceso</v>
      </c>
      <c r="G56" s="4" t="n"/>
      <c r="H56" s="4" t="n"/>
      <c r="I56" s="4" t="n"/>
      <c r="J56" s="4" t="n"/>
    </row>
    <row r="57" ht="20" customHeight="1">
      <c r="A57" s="4" t="n"/>
      <c r="B57" s="162" t="inlineStr">
        <is>
          <t>Asistir a una charla o evento académico</t>
        </is>
      </c>
      <c r="C57" s="154" t="inlineStr">
        <is>
          <t>Evento</t>
        </is>
      </c>
      <c r="D57" s="144" t="n">
        <v>4</v>
      </c>
      <c r="E57" s="146" t="n">
        <v>0</v>
      </c>
      <c r="F57" s="155" t="str">
        <f>IF(E57&gt;=1,"Completado",IF(E57&gt;0,"En proceso","Pendiente"))</f>
        <v>Pendiente</v>
      </c>
      <c r="G57" s="4" t="n"/>
      <c r="H57" s="4" t="n"/>
      <c r="I57" s="4" t="n"/>
      <c r="J57" s="4" t="n"/>
    </row>
    <row r="58" ht="20" customHeight="1">
      <c r="A58" s="4" t="n"/>
      <c r="B58" s="162" t="inlineStr">
        <is>
          <t>Asistir a una segunda charla o actividad de contacto profesional</t>
        </is>
      </c>
      <c r="C58" s="154" t="inlineStr">
        <is>
          <t>Evento</t>
        </is>
      </c>
      <c r="D58" s="144" t="n">
        <v>9</v>
      </c>
      <c r="E58" s="146" t="n">
        <v>0</v>
      </c>
      <c r="F58" s="155" t="str">
        <f>IF(E58&gt;=1,"Completado",IF(E58&gt;0,"En proceso","Pendiente"))</f>
        <v>Pendiente</v>
      </c>
      <c r="G58" s="4" t="n"/>
      <c r="H58" s="4" t="n"/>
      <c r="I58" s="4" t="n"/>
      <c r="J58" s="4" t="n"/>
    </row>
    <row r="59" ht="20" customHeight="1">
      <c r="A59" s="4" t="n"/>
      <c r="B59" s="162" t="inlineStr">
        <is>
          <t>Revisar el plan y ajustar las metas del siguiente año</t>
        </is>
      </c>
      <c r="C59" s="154" t="inlineStr">
        <is>
          <t>Planeación</t>
        </is>
      </c>
      <c r="D59" s="144" t="n">
        <v>12</v>
      </c>
      <c r="E59" s="146" t="n">
        <v>0</v>
      </c>
      <c r="F59" s="155" t="str">
        <f>IF(E59&gt;=1,"Completado",IF(E59&gt;0,"En proceso","Pendiente"))</f>
        <v>Pendiente</v>
      </c>
      <c r="G59" s="4" t="n"/>
      <c r="H59" s="4" t="n"/>
      <c r="I59" s="4" t="n"/>
      <c r="J59" s="4" t="n"/>
    </row>
    <row r="60" ht="20" customHeight="1">
      <c r="A60" s="4" t="n"/>
      <c r="B60" s="156" t="inlineStr">
        <is>
          <t>Avance total del plan (promedio de los hitos)</t>
        </is>
      </c>
      <c r="C60" s="37" t="n"/>
      <c r="D60" s="37" t="n"/>
      <c r="E60" s="160">
        <f>IFERROR(AVERAGE(E54:E59),0)</f>
        <v>0.3</v>
      </c>
      <c r="F60" s="37"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sheetData>
  <mergeCells count="8">
    <mergeCell ref="B18:I18"/>
    <mergeCell ref="B52:I52"/>
    <mergeCell ref="C3:F3"/>
    <mergeCell ref="B2:I2"/>
    <mergeCell ref="B34:I34"/>
    <mergeCell ref="B1:I1"/>
    <mergeCell ref="B4:I4"/>
    <mergeCell ref="B43:I43"/>
  </mergeCells>
  <conditionalFormatting sqref="C12:C16">
    <cfRule type="expression" priority="1" dxfId="6">
      <formula>TRUE</formula>
    </cfRule>
  </conditionalFormatting>
  <conditionalFormatting sqref="D12:D16">
    <cfRule type="expression" priority="2" dxfId="7">
      <formula>TRUE</formula>
    </cfRule>
  </conditionalFormatting>
  <conditionalFormatting sqref="E12:E16">
    <cfRule type="expression" priority="3" dxfId="8">
      <formula>TRUE</formula>
    </cfRule>
  </conditionalFormatting>
  <conditionalFormatting sqref="H20:H32">
    <cfRule type="iconSet" priority="4">
      <iconSet iconSet="3TrafficLights1">
        <cfvo type="num" val="0"/>
        <cfvo type="formula" val="$D$12"/>
        <cfvo type="formula" val="$C$12"/>
      </iconSet>
    </cfRule>
  </conditionalFormatting>
  <conditionalFormatting sqref="I20:I32">
    <cfRule type="expression" priority="5" dxfId="9">
      <formula>I20="En meta"</formula>
    </cfRule>
    <cfRule type="expression" priority="6" dxfId="10">
      <formula>I20="En riesgo"</formula>
    </cfRule>
    <cfRule type="expression" priority="7" dxfId="11">
      <formula>I20="Bajo rendimiento"</formula>
    </cfRule>
  </conditionalFormatting>
  <conditionalFormatting sqref="F36:F41">
    <cfRule type="iconSet" priority="8">
      <iconSet iconSet="3TrafficLights1">
        <cfvo type="num" val="0"/>
        <cfvo type="formula" val="$D$15"/>
        <cfvo type="formula" val="$C$15"/>
      </iconSet>
    </cfRule>
  </conditionalFormatting>
  <conditionalFormatting sqref="H36:H41">
    <cfRule type="expression" priority="9" dxfId="9">
      <formula>H36="En meta"</formula>
    </cfRule>
    <cfRule type="expression" priority="10" dxfId="10">
      <formula>H36="En riesgo"</formula>
    </cfRule>
    <cfRule type="expression" priority="11" dxfId="11">
      <formula>H36="Bajo rendimiento"</formula>
    </cfRule>
  </conditionalFormatting>
  <conditionalFormatting sqref="G36:G41">
    <cfRule type="cellIs" priority="12" operator="greaterThan" dxfId="6">
      <formula>0</formula>
    </cfRule>
    <cfRule type="cellIs" priority="13" operator="lessThan" dxfId="8">
      <formula>0</formula>
    </cfRule>
  </conditionalFormatting>
  <conditionalFormatting sqref="G45:G50">
    <cfRule type="iconSet" priority="14">
      <iconSet iconSet="3TrafficLights1">
        <cfvo type="num" val="0"/>
        <cfvo type="formula" val="$D$14"/>
        <cfvo type="formula" val="$C$14"/>
      </iconSet>
    </cfRule>
  </conditionalFormatting>
  <conditionalFormatting sqref="H45:H50">
    <cfRule type="expression" priority="15" dxfId="9">
      <formula>H45="En meta"</formula>
    </cfRule>
    <cfRule type="expression" priority="16" dxfId="10">
      <formula>H45="En riesgo"</formula>
    </cfRule>
    <cfRule type="expression" priority="17" dxfId="11">
      <formula>H45="Bajo rendimiento"</formula>
    </cfRule>
  </conditionalFormatting>
  <conditionalFormatting sqref="E54:E60">
    <cfRule type="dataBar" priority="18">
      <dataBar showValue="1">
        <cfvo type="num" val="0"/>
        <cfvo type="num" val="1"/>
        <color rgb="001FA595"/>
      </dataBar>
    </cfRule>
  </conditionalFormatting>
  <conditionalFormatting sqref="F54:F59">
    <cfRule type="expression" priority="19" dxfId="9">
      <formula>F54="Completado"</formula>
    </cfRule>
    <cfRule type="expression" priority="20" dxfId="12">
      <formula>F54="En proceso"</formula>
    </cfRule>
  </conditionalFormatting>
  <dataValidations count="8">
    <dataValidation sqref="D20:E31" showDropDown="0" showInputMessage="0" showErrorMessage="0" allowBlank="1" errorTitle="Dato no válido" error="Escribe un número entero entre 0 y 60." type="whole" operator="between">
      <formula1>0</formula1>
      <formula2>60</formula2>
    </dataValidation>
    <dataValidation sqref="F20:F31" showDropDown="0" showInputMessage="0" showErrorMessage="0" allowBlank="1" errorTitle="Dato no válido" error="Los días de estudio van de 0 a 7." type="whole" operator="between">
      <formula1>0</formula1>
      <formula2>7</formula2>
    </dataValidation>
    <dataValidation sqref="G20:G31" showDropDown="0" showInputMessage="0" showErrorMessage="0" allowBlank="1" type="list">
      <formula1>"Sí,No"</formula1>
    </dataValidation>
    <dataValidation sqref="C36:E40" showDropDown="0" showInputMessage="0" showErrorMessage="0" allowBlank="1" errorTitle="Dato no válido" error="La calificación va de 0 a 10." type="decimal" operator="between">
      <formula1>0</formula1>
      <formula2>10</formula2>
    </dataValidation>
    <dataValidation sqref="C45:E49" showDropDown="0" showInputMessage="0" showErrorMessage="0" allowBlank="1" type="whole" operator="between">
      <formula1>0</formula1>
      <formula2>200</formula2>
    </dataValidation>
    <dataValidation sqref="C54:C59" showDropDown="0" showInputMessage="0" showErrorMessage="0" allowBlank="1" type="list">
      <formula1>"Planeación,Curso,Currículum,Evento"</formula1>
    </dataValidation>
    <dataValidation sqref="D54:D59" showDropDown="0" showInputMessage="0" showErrorMessage="0" allowBlank="1" type="whole" operator="between">
      <formula1>1</formula1>
      <formula2>12</formula2>
    </dataValidation>
    <dataValidation sqref="E54:E59" showDropDown="0" showInputMessage="0" showErrorMessage="0" allowBlank="1" errorTitle="Dato no válido" error="Escribe el avance entre 0 % y 100 %." type="decimal" operator="between">
      <formula1>0</formula1>
      <formula2>1</formula2>
    </dataValidation>
  </dataValidations>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8A99AD"/>
    <outlinePr summaryBelow="1" summaryRight="1"/>
    <pageSetUpPr fitToPage="1"/>
  </sheetPr>
  <dimension ref="A1:I50"/>
  <sheetViews>
    <sheetView showGridLines="0" workbookViewId="0">
      <selection activeCell="A1" sqref="A1"/>
    </sheetView>
  </sheetViews>
  <sheetFormatPr baseColWidth="8" defaultRowHeight="15"/>
  <cols>
    <col width="34" customWidth="1" min="1" max="1"/>
    <col width="13" customWidth="1" min="2" max="2"/>
    <col width="13" customWidth="1" min="3" max="3"/>
    <col width="15" customWidth="1" min="4" max="4"/>
    <col width="15" customWidth="1" min="5" max="5"/>
    <col width="10" customWidth="1" min="6" max="6"/>
    <col width="18" customWidth="1" min="7" max="7"/>
    <col width="14" customWidth="1" min="8" max="8"/>
    <col width="50" customWidth="1" min="9" max="9"/>
  </cols>
  <sheetData>
    <row r="1" ht="28" customHeight="1">
      <c r="A1" s="166" t="inlineStr">
        <is>
          <t>CÁLCULOS AUXILIARES · alimentan el tablero y los gráficos (no se editan)</t>
        </is>
      </c>
      <c r="B1" s="2" t="n"/>
      <c r="C1" s="2" t="n"/>
      <c r="D1" s="2" t="n"/>
      <c r="E1" s="2" t="n"/>
      <c r="F1" s="2" t="n"/>
      <c r="G1" s="2" t="n"/>
      <c r="H1" s="2" t="n"/>
      <c r="I1" s="2" t="n"/>
    </row>
    <row r="2" ht="30" customHeight="1">
      <c r="A2" s="167" t="inlineStr">
        <is>
          <t>Código del semáforo: 3 = verde (en meta) · 2 = amarillo (en riesgo) · 1 = rojo (bajo rendimiento). En el objetivo 3 la meta a la fecha es el avance esperado según los meses transcurridos.</t>
        </is>
      </c>
    </row>
    <row r="4">
      <c r="A4" s="92" t="inlineStr">
        <is>
          <t>Indicador</t>
        </is>
      </c>
      <c r="B4" s="92" t="inlineStr">
        <is>
          <t>Objetivo</t>
        </is>
      </c>
      <c r="C4" s="92" t="inlineStr">
        <is>
          <t>Valor actual</t>
        </is>
      </c>
      <c r="D4" s="92" t="inlineStr">
        <is>
          <t>Meta (verde desde)</t>
        </is>
      </c>
      <c r="E4" s="92" t="inlineStr">
        <is>
          <t>Amarillo desde</t>
        </is>
      </c>
      <c r="F4" s="92" t="inlineStr">
        <is>
          <t>Código</t>
        </is>
      </c>
      <c r="G4" s="92" t="inlineStr">
        <is>
          <t>Estado</t>
        </is>
      </c>
      <c r="H4" s="92" t="inlineStr">
        <is>
          <t>Progreso hacia la meta</t>
        </is>
      </c>
      <c r="I4" s="92" t="inlineStr">
        <is>
          <t>Cómo se calcula</t>
        </is>
      </c>
    </row>
    <row r="5" ht="24" customHeight="1">
      <c r="A5" s="168" t="inlineStr">
        <is>
          <t>Cumplimiento del horario</t>
        </is>
      </c>
      <c r="B5" s="169" t="inlineStr">
        <is>
          <t>Obj. 1</t>
        </is>
      </c>
      <c r="C5" s="170">
        <f>REGISTRO!H32</f>
        <v>0.8125</v>
      </c>
      <c r="D5" s="171">
        <f>REGISTRO!C12</f>
        <v>0.8</v>
      </c>
      <c r="E5" s="171">
        <f>REGISTRO!D12</f>
        <v>0.6</v>
      </c>
      <c r="F5" s="169">
        <f>IF(C5&gt;=D5,3,IF(C5&gt;=E5,2,1))</f>
        <v>3</v>
      </c>
      <c r="G5" s="172" t="str">
        <f>CHOOSE(F5,"Bajo rendimiento","En riesgo","En meta")</f>
        <v>En meta</v>
      </c>
      <c r="H5" s="171">
        <f>IF(D5=0,0,MIN(1,MAX(0,C5/D5)))</f>
        <v>1</v>
      </c>
      <c r="I5" s="173" t="inlineStr">
        <is>
          <t>Bloques realizados ÷ bloques planificados (semanas registradas)</t>
        </is>
      </c>
    </row>
    <row r="6" ht="24" customHeight="1">
      <c r="A6" s="168" t="inlineStr">
        <is>
          <t>Días de estudio por semana</t>
        </is>
      </c>
      <c r="B6" s="169" t="inlineStr">
        <is>
          <t>Obj. 1</t>
        </is>
      </c>
      <c r="C6" s="174">
        <f>REGISTRO!F32</f>
        <v>4.5</v>
      </c>
      <c r="D6" s="175">
        <f>REGISTRO!C13</f>
        <v>5</v>
      </c>
      <c r="E6" s="175">
        <f>REGISTRO!D13</f>
        <v>4</v>
      </c>
      <c r="F6" s="169">
        <f>IF(C6&gt;=D6,3,IF(C6&gt;=E6,2,1))</f>
        <v>2</v>
      </c>
      <c r="G6" s="172" t="str">
        <f>CHOOSE(F6,"Bajo rendimiento","En riesgo","En meta")</f>
        <v>En riesgo</v>
      </c>
      <c r="H6" s="171">
        <f>IF(D6=0,0,MIN(1,MAX(0,C6/D6)))</f>
        <v>0.9</v>
      </c>
      <c r="I6" s="173" t="inlineStr">
        <is>
          <t>Promedio de días con al menos un bloque de estudio</t>
        </is>
      </c>
    </row>
    <row r="7" ht="24" customHeight="1">
      <c r="A7" s="168" t="inlineStr">
        <is>
          <t>Tareas entregadas a tiempo</t>
        </is>
      </c>
      <c r="B7" s="169" t="inlineStr">
        <is>
          <t>Obj. 2</t>
        </is>
      </c>
      <c r="C7" s="170">
        <f>REGISTRO!G50</f>
        <v>0.85</v>
      </c>
      <c r="D7" s="171">
        <f>REGISTRO!C14</f>
        <v>0.9</v>
      </c>
      <c r="E7" s="171">
        <f>REGISTRO!D14</f>
        <v>0.75</v>
      </c>
      <c r="F7" s="169">
        <f>IF(C7&gt;=D7,3,IF(C7&gt;=E7,2,1))</f>
        <v>2</v>
      </c>
      <c r="G7" s="172" t="str">
        <f>CHOOSE(F7,"Bajo rendimiento","En riesgo","En meta")</f>
        <v>En riesgo</v>
      </c>
      <c r="H7" s="171">
        <f>IF(D7=0,0,MIN(1,MAX(0,C7/D7)))</f>
        <v>0.944444444444444</v>
      </c>
      <c r="I7" s="173" t="inlineStr">
        <is>
          <t>Tareas entregadas en fecha ÷ tareas asignadas</t>
        </is>
      </c>
    </row>
    <row r="8" ht="24" customHeight="1">
      <c r="A8" s="168" t="inlineStr">
        <is>
          <t>Promedio general</t>
        </is>
      </c>
      <c r="B8" s="169" t="inlineStr">
        <is>
          <t>Obj. 2</t>
        </is>
      </c>
      <c r="C8" s="174">
        <f>REGISTRO!F41</f>
        <v>8.43</v>
      </c>
      <c r="D8" s="175">
        <f>REGISTRO!C15</f>
        <v>8.5</v>
      </c>
      <c r="E8" s="175">
        <f>REGISTRO!D15</f>
        <v>7</v>
      </c>
      <c r="F8" s="169">
        <f>IF(C8&gt;=D8,3,IF(C8&gt;=E8,2,1))</f>
        <v>2</v>
      </c>
      <c r="G8" s="172" t="str">
        <f>CHOOSE(F8,"Bajo rendimiento","En riesgo","En meta")</f>
        <v>En riesgo</v>
      </c>
      <c r="H8" s="171">
        <f>IF(D8=0,0,MIN(1,MAX(0,C8/D8)))</f>
        <v>0.991764705882353</v>
      </c>
      <c r="I8" s="173" t="inlineStr">
        <is>
          <t>Promedio de los promedios por asignatura (0 a 10)</t>
        </is>
      </c>
    </row>
    <row r="9" ht="24" customHeight="1">
      <c r="A9" s="168" t="inlineStr">
        <is>
          <t>Avance del plan profesional</t>
        </is>
      </c>
      <c r="B9" s="169" t="inlineStr">
        <is>
          <t>Obj. 3</t>
        </is>
      </c>
      <c r="C9" s="170">
        <f>REGISTRO!E60</f>
        <v>0.3</v>
      </c>
      <c r="D9" s="171">
        <f>REGISTRO!C9</f>
        <v>0.15</v>
      </c>
      <c r="E9" s="171">
        <f>REGISTRO!D16</f>
        <v>0.7</v>
      </c>
      <c r="F9" s="169">
        <f>IF(D9=0,3,IF(C9/D9&gt;=REGISTRO!C16,3,IF(C9/D9&gt;=E9,2,1)))</f>
        <v>3</v>
      </c>
      <c r="G9" s="172" t="str">
        <f>CHOOSE(F9,"Bajo rendimiento","En riesgo","En meta")</f>
        <v>En meta</v>
      </c>
      <c r="H9" s="171">
        <f>MIN(1,MAX(0,C9))</f>
        <v>0.3</v>
      </c>
      <c r="I9" s="173" t="inlineStr">
        <is>
          <t>Promedio del avance de los hitos; se compara con el avance esperado a la fecha</t>
        </is>
      </c>
    </row>
    <row r="12">
      <c r="A12" s="92" t="inlineStr">
        <is>
          <t>Semana</t>
        </is>
      </c>
      <c r="B12" s="92" t="inlineStr">
        <is>
          <t>En meta</t>
        </is>
      </c>
      <c r="C12" s="92" t="inlineStr">
        <is>
          <t>En riesgo</t>
        </is>
      </c>
      <c r="D12" s="92" t="inlineStr">
        <is>
          <t>Bajo rendimiento</t>
        </is>
      </c>
      <c r="E12" s="92" t="inlineStr">
        <is>
          <t>Meta</t>
        </is>
      </c>
    </row>
    <row r="13">
      <c r="A13" s="169" t="inlineStr">
        <is>
          <t>Sem 1</t>
        </is>
      </c>
      <c r="B13" s="171">
        <f>IF(REGISTRO!$H20="",0,IF(REGISTRO!$H20&gt;=REGISTRO!$C$12,REGISTRO!$H20,0))</f>
        <v>0</v>
      </c>
      <c r="C13" s="171">
        <f>IF(REGISTRO!$H20="",0,IF(AND(REGISTRO!$H20&lt;REGISTRO!$C$12,REGISTRO!$H20&gt;=REGISTRO!$D$12),REGISTRO!$H20,0))</f>
        <v>0</v>
      </c>
      <c r="D13" s="171">
        <f>IF(REGISTRO!$H20="",0,IF(REGISTRO!$H20&lt;REGISTRO!$D$12,REGISTRO!$H20,0))</f>
        <v>0.5</v>
      </c>
      <c r="E13" s="171">
        <f>REGISTRO!$C$12</f>
        <v>0.8</v>
      </c>
    </row>
    <row r="14">
      <c r="A14" s="169" t="inlineStr">
        <is>
          <t>Sem 2</t>
        </is>
      </c>
      <c r="B14" s="171">
        <f>IF(REGISTRO!$H21="",0,IF(REGISTRO!$H21&gt;=REGISTRO!$C$12,REGISTRO!$H21,0))</f>
        <v>0</v>
      </c>
      <c r="C14" s="171">
        <f>IF(REGISTRO!$H21="",0,IF(AND(REGISTRO!$H21&lt;REGISTRO!$C$12,REGISTRO!$H21&gt;=REGISTRO!$D$12),REGISTRO!$H21,0))</f>
        <v>0.7</v>
      </c>
      <c r="D14" s="171">
        <f>IF(REGISTRO!$H21="",0,IF(REGISTRO!$H21&lt;REGISTRO!$D$12,REGISTRO!$H21,0))</f>
        <v>0</v>
      </c>
      <c r="E14" s="171">
        <f>REGISTRO!$C$12</f>
        <v>0.8</v>
      </c>
    </row>
    <row r="15">
      <c r="A15" s="169" t="inlineStr">
        <is>
          <t>Sem 3</t>
        </is>
      </c>
      <c r="B15" s="171">
        <f>IF(REGISTRO!$H22="",0,IF(REGISTRO!$H22&gt;=REGISTRO!$C$12,REGISTRO!$H22,0))</f>
        <v>0.8</v>
      </c>
      <c r="C15" s="171">
        <f>IF(REGISTRO!$H22="",0,IF(AND(REGISTRO!$H22&lt;REGISTRO!$C$12,REGISTRO!$H22&gt;=REGISTRO!$D$12),REGISTRO!$H22,0))</f>
        <v>0</v>
      </c>
      <c r="D15" s="171">
        <f>IF(REGISTRO!$H22="",0,IF(REGISTRO!$H22&lt;REGISTRO!$D$12,REGISTRO!$H22,0))</f>
        <v>0</v>
      </c>
      <c r="E15" s="171">
        <f>REGISTRO!$C$12</f>
        <v>0.8</v>
      </c>
    </row>
    <row r="16">
      <c r="A16" s="169" t="inlineStr">
        <is>
          <t>Sem 4</t>
        </is>
      </c>
      <c r="B16" s="171">
        <f>IF(REGISTRO!$H23="",0,IF(REGISTRO!$H23&gt;=REGISTRO!$C$12,REGISTRO!$H23,0))</f>
        <v>0.9</v>
      </c>
      <c r="C16" s="171">
        <f>IF(REGISTRO!$H23="",0,IF(AND(REGISTRO!$H23&lt;REGISTRO!$C$12,REGISTRO!$H23&gt;=REGISTRO!$D$12),REGISTRO!$H23,0))</f>
        <v>0</v>
      </c>
      <c r="D16" s="171">
        <f>IF(REGISTRO!$H23="",0,IF(REGISTRO!$H23&lt;REGISTRO!$D$12,REGISTRO!$H23,0))</f>
        <v>0</v>
      </c>
      <c r="E16" s="171">
        <f>REGISTRO!$C$12</f>
        <v>0.8</v>
      </c>
    </row>
    <row r="17">
      <c r="A17" s="169" t="inlineStr">
        <is>
          <t>Sem 5</t>
        </is>
      </c>
      <c r="B17" s="171">
        <f>IF(REGISTRO!$H24="",0,IF(REGISTRO!$H24&gt;=REGISTRO!$C$12,REGISTRO!$H24,0))</f>
        <v>0</v>
      </c>
      <c r="C17" s="171">
        <f>IF(REGISTRO!$H24="",0,IF(AND(REGISTRO!$H24&lt;REGISTRO!$C$12,REGISTRO!$H24&gt;=REGISTRO!$D$12),REGISTRO!$H24,0))</f>
        <v>0.7</v>
      </c>
      <c r="D17" s="171">
        <f>IF(REGISTRO!$H24="",0,IF(REGISTRO!$H24&lt;REGISTRO!$D$12,REGISTRO!$H24,0))</f>
        <v>0</v>
      </c>
      <c r="E17" s="171">
        <f>REGISTRO!$C$12</f>
        <v>0.8</v>
      </c>
    </row>
    <row r="18">
      <c r="A18" s="169" t="inlineStr">
        <is>
          <t>Sem 6</t>
        </is>
      </c>
      <c r="B18" s="171">
        <f>IF(REGISTRO!$H25="",0,IF(REGISTRO!$H25&gt;=REGISTRO!$C$12,REGISTRO!$H25,0))</f>
        <v>0.9</v>
      </c>
      <c r="C18" s="171">
        <f>IF(REGISTRO!$H25="",0,IF(AND(REGISTRO!$H25&lt;REGISTRO!$C$12,REGISTRO!$H25&gt;=REGISTRO!$D$12),REGISTRO!$H25,0))</f>
        <v>0</v>
      </c>
      <c r="D18" s="171">
        <f>IF(REGISTRO!$H25="",0,IF(REGISTRO!$H25&lt;REGISTRO!$D$12,REGISTRO!$H25,0))</f>
        <v>0</v>
      </c>
      <c r="E18" s="171">
        <f>REGISTRO!$C$12</f>
        <v>0.8</v>
      </c>
    </row>
    <row r="19">
      <c r="A19" s="169" t="inlineStr">
        <is>
          <t>Sem 7</t>
        </is>
      </c>
      <c r="B19" s="171">
        <f>IF(REGISTRO!$H26="",0,IF(REGISTRO!$H26&gt;=REGISTRO!$C$12,REGISTRO!$H26,0))</f>
        <v>1</v>
      </c>
      <c r="C19" s="171">
        <f>IF(REGISTRO!$H26="",0,IF(AND(REGISTRO!$H26&lt;REGISTRO!$C$12,REGISTRO!$H26&gt;=REGISTRO!$D$12),REGISTRO!$H26,0))</f>
        <v>0</v>
      </c>
      <c r="D19" s="171">
        <f>IF(REGISTRO!$H26="",0,IF(REGISTRO!$H26&lt;REGISTRO!$D$12,REGISTRO!$H26,0))</f>
        <v>0</v>
      </c>
      <c r="E19" s="171">
        <f>REGISTRO!$C$12</f>
        <v>0.8</v>
      </c>
    </row>
    <row r="20">
      <c r="A20" s="169" t="inlineStr">
        <is>
          <t>Sem 8</t>
        </is>
      </c>
      <c r="B20" s="171">
        <f>IF(REGISTRO!$H27="",0,IF(REGISTRO!$H27&gt;=REGISTRO!$C$12,REGISTRO!$H27,0))</f>
        <v>1</v>
      </c>
      <c r="C20" s="171">
        <f>IF(REGISTRO!$H27="",0,IF(AND(REGISTRO!$H27&lt;REGISTRO!$C$12,REGISTRO!$H27&gt;=REGISTRO!$D$12),REGISTRO!$H27,0))</f>
        <v>0</v>
      </c>
      <c r="D20" s="171">
        <f>IF(REGISTRO!$H27="",0,IF(REGISTRO!$H27&lt;REGISTRO!$D$12,REGISTRO!$H27,0))</f>
        <v>0</v>
      </c>
      <c r="E20" s="171">
        <f>REGISTRO!$C$12</f>
        <v>0.8</v>
      </c>
    </row>
    <row r="21">
      <c r="A21" s="169" t="inlineStr">
        <is>
          <t>Sem 9</t>
        </is>
      </c>
      <c r="B21" s="171">
        <f>IF(REGISTRO!$H28="",0,IF(REGISTRO!$H28&gt;=REGISTRO!$C$12,REGISTRO!$H28,0))</f>
        <v>0</v>
      </c>
      <c r="C21" s="171">
        <f>IF(REGISTRO!$H28="",0,IF(AND(REGISTRO!$H28&lt;REGISTRO!$C$12,REGISTRO!$H28&gt;=REGISTRO!$D$12),REGISTRO!$H28,0))</f>
        <v>0</v>
      </c>
      <c r="D21" s="171">
        <f>IF(REGISTRO!$H28="",0,IF(REGISTRO!$H28&lt;REGISTRO!$D$12,REGISTRO!$H28,0))</f>
        <v>0</v>
      </c>
      <c r="E21" s="171">
        <f>REGISTRO!$C$12</f>
        <v>0.8</v>
      </c>
    </row>
    <row r="22">
      <c r="A22" s="169" t="inlineStr">
        <is>
          <t>Sem 10</t>
        </is>
      </c>
      <c r="B22" s="171">
        <f>IF(REGISTRO!$H29="",0,IF(REGISTRO!$H29&gt;=REGISTRO!$C$12,REGISTRO!$H29,0))</f>
        <v>0</v>
      </c>
      <c r="C22" s="171">
        <f>IF(REGISTRO!$H29="",0,IF(AND(REGISTRO!$H29&lt;REGISTRO!$C$12,REGISTRO!$H29&gt;=REGISTRO!$D$12),REGISTRO!$H29,0))</f>
        <v>0</v>
      </c>
      <c r="D22" s="171">
        <f>IF(REGISTRO!$H29="",0,IF(REGISTRO!$H29&lt;REGISTRO!$D$12,REGISTRO!$H29,0))</f>
        <v>0</v>
      </c>
      <c r="E22" s="171">
        <f>REGISTRO!$C$12</f>
        <v>0.8</v>
      </c>
    </row>
    <row r="23">
      <c r="A23" s="169" t="inlineStr">
        <is>
          <t>Sem 11</t>
        </is>
      </c>
      <c r="B23" s="171">
        <f>IF(REGISTRO!$H30="",0,IF(REGISTRO!$H30&gt;=REGISTRO!$C$12,REGISTRO!$H30,0))</f>
        <v>0</v>
      </c>
      <c r="C23" s="171">
        <f>IF(REGISTRO!$H30="",0,IF(AND(REGISTRO!$H30&lt;REGISTRO!$C$12,REGISTRO!$H30&gt;=REGISTRO!$D$12),REGISTRO!$H30,0))</f>
        <v>0</v>
      </c>
      <c r="D23" s="171">
        <f>IF(REGISTRO!$H30="",0,IF(REGISTRO!$H30&lt;REGISTRO!$D$12,REGISTRO!$H30,0))</f>
        <v>0</v>
      </c>
      <c r="E23" s="171">
        <f>REGISTRO!$C$12</f>
        <v>0.8</v>
      </c>
    </row>
    <row r="24">
      <c r="A24" s="169" t="inlineStr">
        <is>
          <t>Sem 12</t>
        </is>
      </c>
      <c r="B24" s="171">
        <f>IF(REGISTRO!$H31="",0,IF(REGISTRO!$H31&gt;=REGISTRO!$C$12,REGISTRO!$H31,0))</f>
        <v>0</v>
      </c>
      <c r="C24" s="171">
        <f>IF(REGISTRO!$H31="",0,IF(AND(REGISTRO!$H31&lt;REGISTRO!$C$12,REGISTRO!$H31&gt;=REGISTRO!$D$12),REGISTRO!$H31,0))</f>
        <v>0</v>
      </c>
      <c r="D24" s="171">
        <f>IF(REGISTRO!$H31="",0,IF(REGISTRO!$H31&lt;REGISTRO!$D$12,REGISTRO!$H31,0))</f>
        <v>0</v>
      </c>
      <c r="E24" s="171">
        <f>REGISTRO!$C$12</f>
        <v>0.8</v>
      </c>
    </row>
    <row r="27">
      <c r="A27" s="92" t="inlineStr">
        <is>
          <t>Asignatura</t>
        </is>
      </c>
      <c r="B27" s="92" t="inlineStr">
        <is>
          <t>En meta</t>
        </is>
      </c>
      <c r="C27" s="92" t="inlineStr">
        <is>
          <t>En riesgo</t>
        </is>
      </c>
      <c r="D27" s="92" t="inlineStr">
        <is>
          <t>Bajo rendimiento</t>
        </is>
      </c>
      <c r="E27" s="92" t="inlineStr">
        <is>
          <t>Meta de promedio</t>
        </is>
      </c>
      <c r="F27" s="92" t="inlineStr">
        <is>
          <t>Código</t>
        </is>
      </c>
      <c r="G27" s="92" t="inlineStr">
        <is>
          <t>Estado</t>
        </is>
      </c>
    </row>
    <row r="28">
      <c r="A28" s="168" t="str">
        <f>REGISTRO!B36</f>
        <v>Matemáticas</v>
      </c>
      <c r="B28" s="175">
        <f>IF(REGISTRO!$F36="",0,IF(REGISTRO!$F36&gt;=REGISTRO!$C$15,REGISTRO!$F36,0))</f>
        <v>0</v>
      </c>
      <c r="C28" s="175">
        <f>IF(REGISTRO!$F36="",0,IF(AND(REGISTRO!$F36&lt;REGISTRO!$C$15,REGISTRO!$F36&gt;=REGISTRO!$D$15),REGISTRO!$F36,0))</f>
        <v>0</v>
      </c>
      <c r="D28" s="175">
        <f>IF(REGISTRO!$F36="",0,IF(REGISTRO!$F36&lt;REGISTRO!$D$15,REGISTRO!$F36,0))</f>
        <v>6.6</v>
      </c>
      <c r="E28" s="175">
        <f>REGISTRO!$C$15</f>
        <v>8.5</v>
      </c>
      <c r="F28" s="169">
        <f>IF(REGISTRO!$F36="",0,IF(REGISTRO!$F36&gt;=REGISTRO!$C$15,3,IF(REGISTRO!$F36&gt;=REGISTRO!$D$15,2,1)))</f>
        <v>1</v>
      </c>
      <c r="G28" s="169" t="str">
        <f>CHOOSE(F28+1,"PENDIENTE","BAJO","EN RIESGO","EN META")</f>
        <v>BAJO</v>
      </c>
    </row>
    <row r="29">
      <c r="A29" s="168" t="str">
        <f>REGISTRO!B37</f>
        <v>Comunicación oral y escrita</v>
      </c>
      <c r="B29" s="175">
        <f>IF(REGISTRO!$F37="",0,IF(REGISTRO!$F37&gt;=REGISTRO!$C$15,REGISTRO!$F37,0))</f>
        <v>9.1</v>
      </c>
      <c r="C29" s="175">
        <f>IF(REGISTRO!$F37="",0,IF(AND(REGISTRO!$F37&lt;REGISTRO!$C$15,REGISTRO!$F37&gt;=REGISTRO!$D$15),REGISTRO!$F37,0))</f>
        <v>0</v>
      </c>
      <c r="D29" s="175">
        <f>IF(REGISTRO!$F37="",0,IF(REGISTRO!$F37&lt;REGISTRO!$D$15,REGISTRO!$F37,0))</f>
        <v>0</v>
      </c>
      <c r="E29" s="175">
        <f>REGISTRO!$C$15</f>
        <v>8.5</v>
      </c>
      <c r="F29" s="169">
        <f>IF(REGISTRO!$F37="",0,IF(REGISTRO!$F37&gt;=REGISTRO!$C$15,3,IF(REGISTRO!$F37&gt;=REGISTRO!$D$15,2,1)))</f>
        <v>3</v>
      </c>
      <c r="G29" s="169" t="str">
        <f>CHOOSE(F29+1,"PENDIENTE","BAJO","EN RIESGO","EN META")</f>
        <v>EN META</v>
      </c>
    </row>
    <row r="30">
      <c r="A30" s="168" t="str">
        <f>REGISTRO!B38</f>
        <v>Inglés</v>
      </c>
      <c r="B30" s="175">
        <f>IF(REGISTRO!$F38="",0,IF(REGISTRO!$F38&gt;=REGISTRO!$C$15,REGISTRO!$F38,0))</f>
        <v>0</v>
      </c>
      <c r="C30" s="175">
        <f>IF(REGISTRO!$F38="",0,IF(AND(REGISTRO!$F38&lt;REGISTRO!$C$15,REGISTRO!$F38&gt;=REGISTRO!$D$15),REGISTRO!$F38,0))</f>
        <v>7.9</v>
      </c>
      <c r="D30" s="175">
        <f>IF(REGISTRO!$F38="",0,IF(REGISTRO!$F38&lt;REGISTRO!$D$15,REGISTRO!$F38,0))</f>
        <v>0</v>
      </c>
      <c r="E30" s="175">
        <f>REGISTRO!$C$15</f>
        <v>8.5</v>
      </c>
      <c r="F30" s="169">
        <f>IF(REGISTRO!$F38="",0,IF(REGISTRO!$F38&gt;=REGISTRO!$C$15,3,IF(REGISTRO!$F38&gt;=REGISTRO!$D$15,2,1)))</f>
        <v>2</v>
      </c>
      <c r="G30" s="169" t="str">
        <f>CHOOSE(F30+1,"PENDIENTE","BAJO","EN RIESGO","EN META")</f>
        <v>EN RIESGO</v>
      </c>
    </row>
    <row r="31">
      <c r="A31" s="168" t="str">
        <f>REGISTRO!B39</f>
        <v>Tecnologías de información</v>
      </c>
      <c r="B31" s="175">
        <f>IF(REGISTRO!$F39="",0,IF(REGISTRO!$F39&gt;=REGISTRO!$C$15,REGISTRO!$F39,0))</f>
        <v>9</v>
      </c>
      <c r="C31" s="175">
        <f>IF(REGISTRO!$F39="",0,IF(AND(REGISTRO!$F39&lt;REGISTRO!$C$15,REGISTRO!$F39&gt;=REGISTRO!$D$15),REGISTRO!$F39,0))</f>
        <v>0</v>
      </c>
      <c r="D31" s="175">
        <f>IF(REGISTRO!$F39="",0,IF(REGISTRO!$F39&lt;REGISTRO!$D$15,REGISTRO!$F39,0))</f>
        <v>0</v>
      </c>
      <c r="E31" s="175">
        <f>REGISTRO!$C$15</f>
        <v>8.5</v>
      </c>
      <c r="F31" s="169">
        <f>IF(REGISTRO!$F39="",0,IF(REGISTRO!$F39&gt;=REGISTRO!$C$15,3,IF(REGISTRO!$F39&gt;=REGISTRO!$D$15,2,1)))</f>
        <v>3</v>
      </c>
      <c r="G31" s="169" t="str">
        <f>CHOOSE(F31+1,"PENDIENTE","BAJO","EN RIESGO","EN META")</f>
        <v>EN META</v>
      </c>
    </row>
    <row r="32">
      <c r="A32" s="168" t="str">
        <f>REGISTRO!B40</f>
        <v>Desarrollo humano</v>
      </c>
      <c r="B32" s="175">
        <f>IF(REGISTRO!$F40="",0,IF(REGISTRO!$F40&gt;=REGISTRO!$C$15,REGISTRO!$F40,0))</f>
        <v>9.55</v>
      </c>
      <c r="C32" s="175">
        <f>IF(REGISTRO!$F40="",0,IF(AND(REGISTRO!$F40&lt;REGISTRO!$C$15,REGISTRO!$F40&gt;=REGISTRO!$D$15),REGISTRO!$F40,0))</f>
        <v>0</v>
      </c>
      <c r="D32" s="175">
        <f>IF(REGISTRO!$F40="",0,IF(REGISTRO!$F40&lt;REGISTRO!$D$15,REGISTRO!$F40,0))</f>
        <v>0</v>
      </c>
      <c r="E32" s="175">
        <f>REGISTRO!$C$15</f>
        <v>8.5</v>
      </c>
      <c r="F32" s="169">
        <f>IF(REGISTRO!$F40="",0,IF(REGISTRO!$F40&gt;=REGISTRO!$C$15,3,IF(REGISTRO!$F40&gt;=REGISTRO!$D$15,2,1)))</f>
        <v>3</v>
      </c>
      <c r="G32" s="169" t="str">
        <f>CHOOSE(F32+1,"PENDIENTE","BAJO","EN RIESGO","EN META")</f>
        <v>EN META</v>
      </c>
    </row>
    <row r="35">
      <c r="A35" s="92" t="inlineStr">
        <is>
          <t>Estado de las tareas</t>
        </is>
      </c>
      <c r="B35" s="92" t="inlineStr">
        <is>
          <t>Cantidad</t>
        </is>
      </c>
    </row>
    <row r="36">
      <c r="A36" s="168" t="inlineStr">
        <is>
          <t>A tiempo</t>
        </is>
      </c>
      <c r="B36" s="169">
        <f>REGISTRO!D50</f>
        <v>34</v>
      </c>
    </row>
    <row r="37">
      <c r="A37" s="168" t="inlineStr">
        <is>
          <t>Con retraso</t>
        </is>
      </c>
      <c r="B37" s="169">
        <f>REGISTRO!E50</f>
        <v>4</v>
      </c>
    </row>
    <row r="38">
      <c r="A38" s="168" t="inlineStr">
        <is>
          <t>No entregadas</t>
        </is>
      </c>
      <c r="B38" s="169">
        <f>REGISTRO!F50</f>
        <v>2</v>
      </c>
    </row>
    <row r="41">
      <c r="A41" s="92" t="inlineStr">
        <is>
          <t>Estado de los hitos</t>
        </is>
      </c>
      <c r="B41" s="92" t="inlineStr">
        <is>
          <t>Cantidad</t>
        </is>
      </c>
    </row>
    <row r="42">
      <c r="A42" s="168" t="inlineStr">
        <is>
          <t>Completados</t>
        </is>
      </c>
      <c r="B42" s="169">
        <f>COUNTIF(REGISTRO!F54:F59,"Completado")</f>
        <v>1</v>
      </c>
    </row>
    <row r="43">
      <c r="A43" s="168" t="inlineStr">
        <is>
          <t>En proceso</t>
        </is>
      </c>
      <c r="B43" s="169">
        <f>COUNTIF(REGISTRO!F54:F59,"En proceso")</f>
        <v>2</v>
      </c>
    </row>
    <row r="44">
      <c r="A44" s="168" t="inlineStr">
        <is>
          <t>Pendientes</t>
        </is>
      </c>
      <c r="B44" s="169">
        <f>COUNTIF(REGISTRO!F54:F59,"Pendiente")</f>
        <v>3</v>
      </c>
    </row>
    <row r="47">
      <c r="A47" s="92" t="inlineStr">
        <is>
          <t>Indicador de desempeño · Obj. 3</t>
        </is>
      </c>
      <c r="B47" s="92" t="inlineStr">
        <is>
          <t>Valor</t>
        </is>
      </c>
    </row>
    <row r="48">
      <c r="A48" s="168" t="inlineStr">
        <is>
          <t>Cursos completados</t>
        </is>
      </c>
      <c r="B48" s="169" t="str">
        <f>COUNTIFS(REGISTRO!C54:C59,"Curso",REGISTRO!E54:E59,"&gt;=1")&amp;" de "&amp;COUNTIF(REGISTRO!C54:C59,"Curso")</f>
        <v>0 de 1</v>
      </c>
    </row>
    <row r="49">
      <c r="A49" s="168" t="inlineStr">
        <is>
          <t>Currículum actualizado</t>
        </is>
      </c>
      <c r="B49" s="169" t="str">
        <f>IF(COUNTIFS(REGISTRO!C54:C59,"Currículum",REGISTRO!E54:E59,"&gt;=1")&gt;0,"Sí","En proceso")</f>
        <v>En proceso</v>
      </c>
    </row>
    <row r="50">
      <c r="A50" s="168" t="inlineStr">
        <is>
          <t>Eventos asistidos</t>
        </is>
      </c>
      <c r="B50" s="169" t="str">
        <f>COUNTIFS(REGISTRO!C54:C59,"Evento",REGISTRO!E54:E59,"&gt;=1")&amp;" de "&amp;COUNTIF(REGISTRO!C54:C59,"Evento")</f>
        <v>0 de 2</v>
      </c>
    </row>
  </sheetData>
  <mergeCells count="2">
    <mergeCell ref="A1:I1"/>
    <mergeCell ref="A2:I2"/>
  </mergeCells>
  <conditionalFormatting sqref="G5:G9">
    <cfRule type="expression" priority="1" dxfId="9">
      <formula>G5="En meta"</formula>
    </cfRule>
    <cfRule type="expression" priority="2" dxfId="10">
      <formula>G5="En riesgo"</formula>
    </cfRule>
    <cfRule type="expression" priority="3" dxfId="11">
      <formula>G5="Bajo rendimiento"</formula>
    </cfRule>
  </conditionalFormatting>
  <printOptions horizontalCentered="1"/>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8A99AD"/>
    <outlinePr summaryBelow="1" summaryRight="1"/>
    <pageSetUpPr fitToPage="1"/>
  </sheetPr>
  <dimension ref="A1:C16"/>
  <sheetViews>
    <sheetView showGridLines="0" workbookViewId="0">
      <selection activeCell="A1" sqref="A1"/>
    </sheetView>
  </sheetViews>
  <sheetFormatPr baseColWidth="8" defaultRowHeight="15"/>
  <cols>
    <col width="2" customWidth="1" min="1" max="1"/>
    <col width="120" customWidth="1" min="2" max="2"/>
    <col width="2" customWidth="1" min="3" max="3"/>
  </cols>
  <sheetData>
    <row r="1" ht="10" customHeight="1">
      <c r="A1" s="1" t="n"/>
      <c r="B1" s="1" t="n"/>
      <c r="C1" s="1" t="n"/>
    </row>
    <row r="2" ht="40" customHeight="1">
      <c r="A2" s="1" t="n"/>
      <c r="B2" s="176" t="inlineStr">
        <is>
          <t>Referencias</t>
        </is>
      </c>
      <c r="C2" s="1" t="n"/>
    </row>
    <row r="3" ht="10" customHeight="1">
      <c r="A3" s="1" t="n"/>
      <c r="B3" s="1" t="n"/>
      <c r="C3" s="1" t="n"/>
    </row>
    <row r="4" ht="48" customHeight="1">
      <c r="A4" s="1" t="n"/>
      <c r="B4" s="177" t="inlineStr">
        <is>
          <t>Dunlosky, J., Rawson, K. A., Marsh, E. J., Nathan, M. J., &amp; Willingham, D. T. (2013). Improving students’ learning with effective learning techniques: Promising directions from cognitive and educational psychology. Psychological Science in the Public Interest, 14(1), 4–58. https://doi.org/10.1177/1529100612453266</t>
        </is>
      </c>
      <c r="C4" s="1" t="n"/>
    </row>
    <row r="5" ht="30" customHeight="1">
      <c r="A5" s="1" t="n"/>
      <c r="B5" s="177" t="inlineStr">
        <is>
          <t>Few, S. (2006). Information dashboard design: The effective visual communication of data. O’Reilly Media.</t>
        </is>
      </c>
      <c r="C5" s="1" t="n"/>
    </row>
    <row r="6" ht="30" customHeight="1">
      <c r="A6" s="1" t="n"/>
      <c r="B6" s="177" t="inlineStr">
        <is>
          <t>Parmenter, D. (2015). Key performance indicators: Developing, implementing, and using winning KPIs (3rd ed.). John Wiley &amp; Sons.</t>
        </is>
      </c>
      <c r="C6" s="1" t="n"/>
    </row>
    <row r="7">
      <c r="A7" s="1" t="n"/>
      <c r="B7" s="1" t="n"/>
      <c r="C7" s="1" t="n"/>
    </row>
    <row r="8">
      <c r="A8" s="1" t="n"/>
      <c r="B8" s="178" t="inlineStr">
        <is>
          <t>Videos de apoyo del curso que revisé (YouTube)</t>
        </is>
      </c>
      <c r="C8" s="1" t="n"/>
    </row>
    <row r="9">
      <c r="A9" s="1" t="n"/>
      <c r="B9" s="179" t="inlineStr">
        <is>
          <t>https://www.youtube.com/watch?v=830NHbvbo5g</t>
        </is>
      </c>
      <c r="C9" s="1" t="n"/>
    </row>
    <row r="10">
      <c r="A10" s="1" t="n"/>
      <c r="B10" s="179" t="inlineStr">
        <is>
          <t>https://www.youtube.com/watch?v=Oanr41Tz28U</t>
        </is>
      </c>
      <c r="C10" s="1" t="n"/>
    </row>
    <row r="11">
      <c r="A11" s="1" t="n"/>
      <c r="B11" s="179" t="inlineStr">
        <is>
          <t>https://www.youtube.com/watch?v=Pfi1kE2tYBs</t>
        </is>
      </c>
      <c r="C11" s="1" t="n"/>
    </row>
    <row r="12">
      <c r="A12" s="1" t="n"/>
      <c r="B12" s="179" t="inlineStr">
        <is>
          <t>https://www.youtube.com/watch?v=D3kV5dMn5fk</t>
        </is>
      </c>
      <c r="C12" s="1" t="n"/>
    </row>
    <row r="13">
      <c r="A13" s="1" t="n"/>
      <c r="B13" s="179" t="inlineStr">
        <is>
          <t>https://www.youtube.com/watch?v=1SEOOoMEm78</t>
        </is>
      </c>
      <c r="C13" s="1" t="n"/>
    </row>
    <row r="14">
      <c r="A14" s="1" t="n"/>
      <c r="B14" s="1" t="n"/>
      <c r="C14" s="1" t="n"/>
    </row>
    <row r="15">
      <c r="A15" s="1" t="n"/>
      <c r="B15" s="1" t="n"/>
      <c r="C15" s="1" t="n"/>
    </row>
    <row r="16">
      <c r="A16" s="1" t="n"/>
      <c r="B16" s="1" t="n"/>
      <c r="C16" s="1" t="n"/>
    </row>
  </sheetData>
  <hyperlinks>
    <hyperlink xmlns:r="http://schemas.openxmlformats.org/officeDocument/2006/relationships" ref="B9" r:id="rId1"/>
    <hyperlink xmlns:r="http://schemas.openxmlformats.org/officeDocument/2006/relationships" ref="B10" r:id="rId2"/>
    <hyperlink xmlns:r="http://schemas.openxmlformats.org/officeDocument/2006/relationships" ref="B11" r:id="rId3"/>
    <hyperlink xmlns:r="http://schemas.openxmlformats.org/officeDocument/2006/relationships" ref="B12" r:id="rId4"/>
    <hyperlink xmlns:r="http://schemas.openxmlformats.org/officeDocument/2006/relationships" ref="B13" r:id="rId5"/>
  </hyperlinks>
  <printOptions horizontalCentered="1"/>
  <pageMargins left="0.4" right="0.4" top="0.5" bottom="0.5"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2026-10-25T02:36:20Z</dcterms:created>
  <dcterms:modified xmlns:dcterms="http://purl.org/dc/terms/" xmlns:xsi="http://www.w3.org/2001/XMLSchema-instance" xsi:type="dcterms:W3CDTF">2026-10-25T02:36:20Z</dcterms:modified>
</cp:coreProperties>
</file>