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CABEZADO" sheetId="1" state="visible" r:id="rId1"/>
    <sheet xmlns:r="http://schemas.openxmlformats.org/officeDocument/2006/relationships" name="TABLERO DE CONTROL" sheetId="2" state="visible" r:id="rId2"/>
    <sheet xmlns:r="http://schemas.openxmlformats.org/officeDocument/2006/relationships" name="CONCLUSIÓN" sheetId="3" state="visible" r:id="rId3"/>
    <sheet xmlns:r="http://schemas.openxmlformats.org/officeDocument/2006/relationships" name="TABLA DINÁMICA" sheetId="4" state="visible" r:id="rId4"/>
    <sheet xmlns:r="http://schemas.openxmlformats.org/officeDocument/2006/relationships" name="DATOS" sheetId="5" state="visible" r:id="rId5"/>
    <sheet xmlns:r="http://schemas.openxmlformats.org/officeDocument/2006/relationships" name="REGISTRO DE TAREAS" sheetId="6" state="visible" r:id="rId6"/>
    <sheet xmlns:r="http://schemas.openxmlformats.org/officeDocument/2006/relationships" name="REFERENCIAS" sheetId="7" state="visible" r:id="rId7"/>
  </sheets>
  <definedNames/>
  <calcPr calcId="124519" fullCalcOnLoad="1"/>
  <pivotCaches>
    <pivotCache xmlns:r="http://schemas.openxmlformats.org/officeDocument/2006/relationships" cacheId="1" r:id="rId8"/>
  </pivotCaches>
</workbook>
</file>

<file path=xl/styles.xml><?xml version="1.0" encoding="utf-8"?>
<styleSheet xmlns="http://schemas.openxmlformats.org/spreadsheetml/2006/main">
  <numFmts count="8">
    <numFmt numFmtId="164" formatCode="yyyy-mm-dd"/>
    <numFmt numFmtId="165" formatCode="dd/mm/yyyy"/>
    <numFmt numFmtId="166" formatCode="0.0"/>
    <numFmt numFmtId="167" formatCode="+0.0;-0.0;0.0"/>
    <numFmt numFmtId="168" formatCode="&quot;≥ &quot;0%"/>
    <numFmt numFmtId="169" formatCode="&quot;≥ &quot;0"/>
    <numFmt numFmtId="170" formatCode="&quot;≥ &quot;0.0"/>
    <numFmt numFmtId="171" formatCode="&quot;esperado &quot;0%"/>
  </numFmts>
  <fonts count="7">
    <font>
      <name val="Calibri"/>
      <family val="2"/>
      <color theme="1"/>
      <sz val="11"/>
      <scheme val="minor"/>
    </font>
    <font>
      <name val="Arial"/>
      <b val="1"/>
      <sz val="14"/>
    </font>
    <font>
      <name val="Arial"/>
      <i val="1"/>
      <sz val="9"/>
    </font>
    <font>
      <name val="Arial"/>
      <b val="1"/>
      <sz val="12"/>
    </font>
    <font>
      <name val="Arial"/>
      <sz val="10"/>
    </font>
    <font>
      <name val="Arial"/>
      <b val="1"/>
      <sz val="10"/>
    </font>
    <font>
      <name val="Arial"/>
      <sz val="12"/>
    </font>
  </fonts>
  <fills count="5">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1">
    <xf numFmtId="0" fontId="0" fillId="0" borderId="0" pivotButton="0" quotePrefix="0" xfId="0"/>
    <xf numFmtId="0" fontId="1" fillId="0" borderId="0" pivotButton="0" quotePrefix="0" xfId="0"/>
    <xf numFmtId="0" fontId="3" fillId="0" borderId="0" pivotButton="0" quotePrefix="0" xfId="0"/>
    <xf numFmtId="0" fontId="2" fillId="0" borderId="0" pivotButton="0" quotePrefix="0" xfId="0"/>
    <xf numFmtId="0" fontId="5" fillId="0" borderId="0" pivotButton="0" quotePrefix="0" xfId="0"/>
    <xf numFmtId="0" fontId="4" fillId="0" borderId="0" applyAlignment="1" pivotButton="0" quotePrefix="0" xfId="0">
      <alignment horizontal="left"/>
    </xf>
    <xf numFmtId="165" fontId="4" fillId="0" borderId="0" applyAlignment="1" pivotButton="0" quotePrefix="0" xfId="0">
      <alignment horizontal="left"/>
    </xf>
    <xf numFmtId="0" fontId="5" fillId="0" borderId="1" applyAlignment="1" pivotButton="0" quotePrefix="0" xfId="0">
      <alignment horizontal="center" vertical="center" wrapText="1"/>
    </xf>
    <xf numFmtId="0" fontId="4" fillId="0" borderId="1" applyAlignment="1" pivotButton="0" quotePrefix="0" xfId="0">
      <alignment vertical="top" wrapText="1"/>
    </xf>
    <xf numFmtId="0" fontId="4" fillId="0" borderId="1" pivotButton="0" quotePrefix="0" xfId="0"/>
    <xf numFmtId="0" fontId="2" fillId="0" borderId="0" applyAlignment="1" pivotButton="0" quotePrefix="0" xfId="0">
      <alignment vertical="top" wrapText="1"/>
    </xf>
    <xf numFmtId="0" fontId="4" fillId="0" borderId="0" pivotButton="0" quotePrefix="0" xfId="0"/>
    <xf numFmtId="165" fontId="4" fillId="0" borderId="0" pivotButton="0" quotePrefix="0" xfId="0"/>
    <xf numFmtId="0" fontId="4" fillId="0" borderId="1" applyAlignment="1" pivotButton="0" quotePrefix="0" xfId="0">
      <alignment horizontal="center" vertical="center" wrapText="1"/>
    </xf>
    <xf numFmtId="9" fontId="5" fillId="0" borderId="1" applyAlignment="1" pivotButton="0" quotePrefix="0" xfId="0">
      <alignment horizontal="center" vertical="center" wrapText="1"/>
    </xf>
    <xf numFmtId="168"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9" fontId="4" fillId="0" borderId="1" pivotButton="0" quotePrefix="0" xfId="0"/>
    <xf numFmtId="166" fontId="5" fillId="0" borderId="1" applyAlignment="1" pivotButton="0" quotePrefix="0" xfId="0">
      <alignment horizontal="center" vertical="center" wrapText="1"/>
    </xf>
    <xf numFmtId="169" fontId="4" fillId="0" borderId="1" applyAlignment="1" pivotButton="0" quotePrefix="0" xfId="0">
      <alignment horizontal="center" vertical="center" wrapText="1"/>
    </xf>
    <xf numFmtId="170" fontId="4" fillId="0" borderId="1" applyAlignment="1" pivotButton="0" quotePrefix="0" xfId="0">
      <alignment horizontal="center" vertical="center" wrapText="1"/>
    </xf>
    <xf numFmtId="171" fontId="4" fillId="0" borderId="1" applyAlignment="1" pivotButton="0" quotePrefix="0" xfId="0">
      <alignment horizontal="center" vertical="center" wrapText="1"/>
    </xf>
    <xf numFmtId="166" fontId="4" fillId="0" borderId="1" applyAlignment="1" pivotButton="0" quotePrefix="0" xfId="0">
      <alignment horizontal="center" vertical="center" wrapText="1"/>
    </xf>
    <xf numFmtId="167" fontId="4" fillId="0" borderId="1" applyAlignment="1" pivotButton="0" quotePrefix="0" xfId="0">
      <alignment horizontal="center" vertical="center" wrapText="1"/>
    </xf>
    <xf numFmtId="0" fontId="5" fillId="0" borderId="1" pivotButton="0" quotePrefix="0" xfId="0"/>
    <xf numFmtId="167" fontId="5" fillId="0" borderId="1" applyAlignment="1" pivotButton="0" quotePrefix="0" xfId="0">
      <alignment horizontal="center" vertical="center" wrapText="1"/>
    </xf>
    <xf numFmtId="9" fontId="5" fillId="0" borderId="1" pivotButton="0" quotePrefix="0" xfId="0"/>
    <xf numFmtId="0" fontId="5" fillId="2" borderId="0" pivotButton="0" quotePrefix="0" xfId="0"/>
    <xf numFmtId="0" fontId="5" fillId="3" borderId="0" pivotButton="0" quotePrefix="0" xfId="0"/>
    <xf numFmtId="0" fontId="5" fillId="4"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165" fontId="4" fillId="0" borderId="1" pivotButton="0" quotePrefix="0" xfId="0"/>
    <xf numFmtId="1" fontId="4" fillId="0" borderId="1" pivotButton="0" quotePrefix="0" xfId="0"/>
    <xf numFmtId="166" fontId="4" fillId="0" borderId="1" pivotButton="0" quotePrefix="0" xfId="0"/>
    <xf numFmtId="165" fontId="4" fillId="0" borderId="1" applyAlignment="1" pivotButton="0" quotePrefix="0" xfId="0">
      <alignment horizontal="center" vertical="center" wrapText="1"/>
    </xf>
    <xf numFmtId="9" fontId="4" fillId="0" borderId="1"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0" applyAlignment="1" pivotButton="0" quotePrefix="0" xfId="0">
      <alignment horizontal="center" vertical="center" wrapText="1"/>
    </xf>
    <xf numFmtId="165" fontId="4" fillId="0" borderId="0" applyAlignment="1" pivotButton="0" quotePrefix="0" xfId="0">
      <alignment horizontal="center" vertical="center" wrapText="1"/>
    </xf>
    <xf numFmtId="166" fontId="4" fillId="0" borderId="0" applyAlignment="1" pivotButton="0" quotePrefix="0" xfId="0">
      <alignment horizontal="center" vertical="center" wrapText="1"/>
    </xf>
  </cellXfs>
  <cellStyles count="1">
    <cellStyle name="Normal" xfId="0" builtinId="0" hidden="0"/>
  </cellStyles>
  <dxfs count="5">
    <dxf>
      <font>
        <b val="1"/>
        <color rgb="00006100"/>
      </font>
      <fill>
        <patternFill patternType="solid">
          <fgColor rgb="00C6EFCE"/>
          <bgColor rgb="00C6EFCE"/>
        </patternFill>
      </fill>
    </dxf>
    <dxf>
      <font>
        <b val="1"/>
        <color rgb="009C5700"/>
      </font>
      <fill>
        <patternFill patternType="solid">
          <fgColor rgb="00FFEB9C"/>
          <bgColor rgb="00FFEB9C"/>
        </patternFill>
      </fill>
    </dxf>
    <dxf>
      <font>
        <b val="1"/>
        <color rgb="009C0006"/>
      </font>
      <fill>
        <patternFill patternType="solid">
          <fgColor rgb="00FFC7CE"/>
          <bgColor rgb="00FFC7CE"/>
        </patternFill>
      </fill>
    </dxf>
    <dxf>
      <font>
        <b val="1"/>
        <color rgb="00006100"/>
      </font>
    </dxf>
    <dxf>
      <font>
        <b val="1"/>
        <color rgb="009C000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pivotCacheDefinition" Target="/xl/pivotCache/pivotCacheDefinition1.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Obj. 1: cumplimiento semanal del horario</a:t>
            </a:r>
          </a:p>
        </rich>
      </tx>
    </title>
    <plotArea>
      <barChart>
        <barDir val="col"/>
        <grouping val="clustered"/>
        <ser>
          <idx val="0"/>
          <order val="0"/>
          <tx>
            <strRef>
              <f>'DATOS'!B75</f>
            </strRef>
          </tx>
          <spPr>
            <a:solidFill xmlns:a="http://schemas.openxmlformats.org/drawingml/2006/main">
              <a:srgbClr val="1E9E5A"/>
            </a:solidFill>
            <a:ln xmlns:a="http://schemas.openxmlformats.org/drawingml/2006/main">
              <a:solidFill>
                <a:srgbClr val="1E9E5A"/>
              </a:solidFill>
              <a:prstDash val="solid"/>
            </a:ln>
          </spPr>
          <cat>
            <numRef>
              <f>'DATOS'!$A$76:$A$87</f>
            </numRef>
          </cat>
          <val>
            <numRef>
              <f>'DATOS'!$B$76:$B$87</f>
            </numRef>
          </val>
        </ser>
        <ser>
          <idx val="1"/>
          <order val="1"/>
          <tx>
            <strRef>
              <f>'DATOS'!C75</f>
            </strRef>
          </tx>
          <spPr>
            <a:solidFill xmlns:a="http://schemas.openxmlformats.org/drawingml/2006/main">
              <a:srgbClr val="F2B705"/>
            </a:solidFill>
            <a:ln xmlns:a="http://schemas.openxmlformats.org/drawingml/2006/main">
              <a:solidFill>
                <a:srgbClr val="F2B705"/>
              </a:solidFill>
              <a:prstDash val="solid"/>
            </a:ln>
          </spPr>
          <cat>
            <numRef>
              <f>'DATOS'!$A$76:$A$87</f>
            </numRef>
          </cat>
          <val>
            <numRef>
              <f>'DATOS'!$C$76:$C$87</f>
            </numRef>
          </val>
        </ser>
        <ser>
          <idx val="2"/>
          <order val="2"/>
          <tx>
            <strRef>
              <f>'DATOS'!D75</f>
            </strRef>
          </tx>
          <spPr>
            <a:solidFill xmlns:a="http://schemas.openxmlformats.org/drawingml/2006/main">
              <a:srgbClr val="D93F3F"/>
            </a:solidFill>
            <a:ln xmlns:a="http://schemas.openxmlformats.org/drawingml/2006/main">
              <a:solidFill>
                <a:srgbClr val="D93F3F"/>
              </a:solidFill>
              <a:prstDash val="solid"/>
            </a:ln>
          </spPr>
          <cat>
            <numRef>
              <f>'DATOS'!$A$76:$A$87</f>
            </numRef>
          </cat>
          <val>
            <numRef>
              <f>'DATOS'!$D$76:$D$87</f>
            </numRef>
          </val>
        </ser>
        <gapWidth val="50"/>
        <overlap val="100"/>
        <axId val="10"/>
        <axId val="100"/>
      </barChart>
      <lineChart>
        <grouping val="standard"/>
        <ser>
          <idx val="3"/>
          <order val="3"/>
          <tx>
            <strRef>
              <f>'DATOS'!E75</f>
            </strRef>
          </tx>
          <spPr>
            <a:ln xmlns:a="http://schemas.openxmlformats.org/drawingml/2006/main">
              <a:solidFill>
                <a:srgbClr val="000000"/>
              </a:solidFill>
              <a:prstDash val="dash"/>
            </a:ln>
          </spPr>
          <marker>
            <symbol val="none"/>
            <spPr>
              <a:ln xmlns:a="http://schemas.openxmlformats.org/drawingml/2006/main">
                <a:prstDash val="solid"/>
              </a:ln>
            </spPr>
          </marker>
          <val>
            <numRef>
              <f>'DATOS'!$E$76:$E$87</f>
            </numRef>
          </val>
          <smooth val="0"/>
        </ser>
        <axId val="10"/>
        <axId val="100"/>
      </line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majorUnit val="0.25"/>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Obj. 2: estado de mis entregas</a:t>
            </a:r>
          </a:p>
        </rich>
      </tx>
    </title>
    <plotArea>
      <pieChart>
        <varyColors val="1"/>
        <ser>
          <idx val="0"/>
          <order val="0"/>
          <tx>
            <strRef>
              <f>'DATOS'!B96</f>
            </strRef>
          </tx>
          <spPr>
            <a:ln xmlns:a="http://schemas.openxmlformats.org/drawingml/2006/main">
              <a:prstDash val="solid"/>
            </a:ln>
          </spPr>
          <dPt>
            <idx val="0"/>
            <spPr>
              <a:solidFill xmlns:a="http://schemas.openxmlformats.org/drawingml/2006/main">
                <a:srgbClr val="1E9E5A"/>
              </a:solidFill>
              <a:ln xmlns:a="http://schemas.openxmlformats.org/drawingml/2006/main">
                <a:prstDash val="solid"/>
              </a:ln>
            </spPr>
          </dPt>
          <dPt>
            <idx val="1"/>
            <spPr>
              <a:solidFill xmlns:a="http://schemas.openxmlformats.org/drawingml/2006/main">
                <a:srgbClr val="F2B705"/>
              </a:solidFill>
              <a:ln xmlns:a="http://schemas.openxmlformats.org/drawingml/2006/main">
                <a:prstDash val="solid"/>
              </a:ln>
            </spPr>
          </dPt>
          <dPt>
            <idx val="2"/>
            <spPr>
              <a:solidFill xmlns:a="http://schemas.openxmlformats.org/drawingml/2006/main">
                <a:srgbClr val="D93F3F"/>
              </a:solidFill>
              <a:ln xmlns:a="http://schemas.openxmlformats.org/drawingml/2006/main">
                <a:prstDash val="solid"/>
              </a:ln>
            </spPr>
          </dPt>
          <cat>
            <numRef>
              <f>'DATOS'!$A$97:$A$99</f>
            </numRef>
          </cat>
          <val>
            <numRef>
              <f>'DATOS'!$B$97:$B$99</f>
            </numRef>
          </val>
        </ser>
        <dLbls>
          <showLegendKey val="0"/>
          <showVal val="0"/>
          <showCatName val="0"/>
          <showSerName val="0"/>
          <showPercent val="1"/>
        </dLbls>
        <firstSliceAng val="0"/>
      </pieChart>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Obj. 2: calificaciones por asignatura y parcial</a:t>
            </a:r>
          </a:p>
        </rich>
      </tx>
    </title>
    <plotArea>
      <barChart>
        <barDir val="col"/>
        <grouping val="clustered"/>
        <ser>
          <idx val="0"/>
          <order val="0"/>
          <tx>
            <strRef>
              <f>'DATOS'!B36</f>
            </strRef>
          </tx>
          <spPr>
            <a:solidFill xmlns:a="http://schemas.openxmlformats.org/drawingml/2006/main">
              <a:srgbClr val="9DC3E6"/>
            </a:solidFill>
            <a:ln xmlns:a="http://schemas.openxmlformats.org/drawingml/2006/main">
              <a:solidFill>
                <a:srgbClr val="9DC3E6"/>
              </a:solidFill>
              <a:prstDash val="solid"/>
            </a:ln>
          </spPr>
          <cat>
            <numRef>
              <f>'DATOS'!$A$37:$A$41</f>
            </numRef>
          </cat>
          <val>
            <numRef>
              <f>'DATOS'!$B$37:$B$41</f>
            </numRef>
          </val>
        </ser>
        <ser>
          <idx val="1"/>
          <order val="1"/>
          <tx>
            <strRef>
              <f>'DATOS'!C36</f>
            </strRef>
          </tx>
          <spPr>
            <a:solidFill xmlns:a="http://schemas.openxmlformats.org/drawingml/2006/main">
              <a:srgbClr val="2E75B6"/>
            </a:solidFill>
            <a:ln xmlns:a="http://schemas.openxmlformats.org/drawingml/2006/main">
              <a:solidFill>
                <a:srgbClr val="2E75B6"/>
              </a:solidFill>
              <a:prstDash val="solid"/>
            </a:ln>
          </spPr>
          <cat>
            <numRef>
              <f>'DATOS'!$A$37:$A$41</f>
            </numRef>
          </cat>
          <val>
            <numRef>
              <f>'DATOS'!$C$37:$C$41</f>
            </numRef>
          </val>
        </ser>
        <ser>
          <idx val="2"/>
          <order val="2"/>
          <tx>
            <strRef>
              <f>'DATOS'!D36</f>
            </strRef>
          </tx>
          <spPr>
            <a:solidFill xmlns:a="http://schemas.openxmlformats.org/drawingml/2006/main">
              <a:srgbClr val="1F3864"/>
            </a:solidFill>
            <a:ln xmlns:a="http://schemas.openxmlformats.org/drawingml/2006/main">
              <a:solidFill>
                <a:srgbClr val="1F3864"/>
              </a:solidFill>
              <a:prstDash val="solid"/>
            </a:ln>
          </spPr>
          <cat>
            <numRef>
              <f>'DATOS'!$A$37:$A$41</f>
            </numRef>
          </cat>
          <val>
            <numRef>
              <f>'DATOS'!$D$37:$D$41</f>
            </numRef>
          </val>
        </ser>
        <gapWidth val="80"/>
        <axId val="10"/>
        <axId val="100"/>
      </barChart>
      <lineChart>
        <grouping val="standard"/>
        <ser>
          <idx val="3"/>
          <order val="3"/>
          <tx>
            <strRef>
              <f>'DATOS'!D89</f>
            </strRef>
          </tx>
          <spPr>
            <a:ln xmlns:a="http://schemas.openxmlformats.org/drawingml/2006/main">
              <a:solidFill>
                <a:srgbClr val="1E9E5A"/>
              </a:solidFill>
              <a:prstDash val="dash"/>
            </a:ln>
          </spPr>
          <marker>
            <symbol val="none"/>
            <spPr>
              <a:ln xmlns:a="http://schemas.openxmlformats.org/drawingml/2006/main">
                <a:prstDash val="solid"/>
              </a:ln>
            </spPr>
          </marker>
          <val>
            <numRef>
              <f>'DATOS'!$D$90:$D$94</f>
            </numRef>
          </val>
          <smooth val="0"/>
        </ser>
        <axId val="10"/>
        <axId val="100"/>
      </lineChart>
      <catAx>
        <axId val="10"/>
        <scaling>
          <orientation val="minMax"/>
        </scaling>
        <delete val="0"/>
        <axPos val="l"/>
        <majorTickMark val="none"/>
        <minorTickMark val="none"/>
        <crossAx val="100"/>
        <lblOffset val="100"/>
      </catAx>
      <valAx>
        <axId val="100"/>
        <scaling>
          <orientation val="minMax"/>
          <max val="10"/>
          <min val="0"/>
        </scaling>
        <delete val="0"/>
        <axPos val="l"/>
        <majorGridlines/>
        <numFmt formatCode="0" sourceLinked="0"/>
        <majorTickMark val="none"/>
        <minorTickMark val="none"/>
        <crossAx val="10"/>
        <majorUnit val="2"/>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Obj. 3: hitos del plan profesional</a:t>
            </a:r>
          </a:p>
        </rich>
      </tx>
    </title>
    <plotArea>
      <pieChart>
        <varyColors val="1"/>
        <ser>
          <idx val="0"/>
          <order val="0"/>
          <tx>
            <strRef>
              <f>'DATOS'!B101</f>
            </strRef>
          </tx>
          <spPr>
            <a:ln xmlns:a="http://schemas.openxmlformats.org/drawingml/2006/main">
              <a:prstDash val="solid"/>
            </a:ln>
          </spPr>
          <dPt>
            <idx val="0"/>
            <spPr>
              <a:solidFill xmlns:a="http://schemas.openxmlformats.org/drawingml/2006/main">
                <a:srgbClr val="1E9E5A"/>
              </a:solidFill>
              <a:ln xmlns:a="http://schemas.openxmlformats.org/drawingml/2006/main">
                <a:prstDash val="solid"/>
              </a:ln>
            </spPr>
          </dPt>
          <dPt>
            <idx val="1"/>
            <spPr>
              <a:solidFill xmlns:a="http://schemas.openxmlformats.org/drawingml/2006/main">
                <a:srgbClr val="2E75B6"/>
              </a:solidFill>
              <a:ln xmlns:a="http://schemas.openxmlformats.org/drawingml/2006/main">
                <a:prstDash val="solid"/>
              </a:ln>
            </spPr>
          </dPt>
          <dPt>
            <idx val="2"/>
            <spPr>
              <a:solidFill xmlns:a="http://schemas.openxmlformats.org/drawingml/2006/main">
                <a:srgbClr val="BFBFBF"/>
              </a:solidFill>
              <a:ln xmlns:a="http://schemas.openxmlformats.org/drawingml/2006/main">
                <a:prstDash val="solid"/>
              </a:ln>
            </spPr>
          </dPt>
          <cat>
            <numRef>
              <f>'DATOS'!$A$102:$A$104</f>
            </numRef>
          </cat>
          <val>
            <numRef>
              <f>'DATOS'!$B$102:$B$104</f>
            </numRef>
          </val>
        </ser>
        <dLbls>
          <showLegendKey val="0"/>
          <showVal val="1"/>
          <showCatName val="0"/>
          <showSerName val="0"/>
          <showPercent val="0"/>
        </dLbls>
        <firstSliceAng val="0"/>
      </pieChart>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32</row>
      <rowOff>0</rowOff>
    </from>
    <ext cx="57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32</row>
      <rowOff>0</rowOff>
    </from>
    <ext cx="396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50</row>
      <rowOff>0</rowOff>
    </from>
    <ext cx="5760000" cy="30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50</row>
      <rowOff>0</rowOff>
    </from>
    <ext cx="3960000" cy="30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createdVersion="6" refreshedVersion="6" minRefreshableVersion="3" recordCount="40" r:id="rId1">
  <cacheSource type="worksheet">
    <worksheetSource name="TablaTareas"/>
  </cacheSource>
  <cacheFields count="7">
    <cacheField name="N.º" uniqueList="1" numFmtId="0" sqlType="0" hierarchy="0" level="0" databaseField="1">
      <sharedItems count="0" containsInteger="1" containsNumber="1" containsSemiMixedTypes="0" containsString="0" minValue="1" maxValue="40"/>
    </cacheField>
    <cacheField name="Fecha de entrega" uniqueList="1" numFmtId="14" sqlType="0" hierarchy="0" level="0" databaseField="1">
      <sharedItems count="0" containsDate="1" containsNonDate="0" containsSemiMixedTypes="0" containsString="0" minDate="2026-09-02T00:00:00" maxDate="2026-10-16T00:00:00"/>
    </cacheField>
    <cacheField name="Mes" uniqueList="1" numFmtId="0" sqlType="0" hierarchy="0" level="0" databaseField="1">
      <sharedItems count="2">
        <s v="Septiembre"/>
        <s v="Octubre"/>
      </sharedItems>
    </cacheField>
    <cacheField name="Asignatura" uniqueList="1" numFmtId="0" sqlType="0" hierarchy="0" level="0" databaseField="1">
      <sharedItems count="5">
        <s v="Matemáticas"/>
        <s v="Comunicación oral y escrita"/>
        <s v="Inglés"/>
        <s v="Tecnologías de información"/>
        <s v="Desarrollo humano"/>
      </sharedItems>
    </cacheField>
    <cacheField name="Tipo de actividad" uniqueList="1" numFmtId="0" sqlType="0" hierarchy="0" level="0" databaseField="1">
      <sharedItems count="4">
        <s v="Tarea"/>
        <s v="Ejercicios de repaso"/>
        <s v="Reporte de lectura"/>
        <s v="Proyecto"/>
      </sharedItems>
    </cacheField>
    <cacheField name="Estado de entrega" uniqueList="1" numFmtId="0" sqlType="0" hierarchy="0" level="0" databaseField="1">
      <sharedItems count="3">
        <s v="A tiempo"/>
        <s v="Con retraso"/>
        <s v="No entregada"/>
      </sharedItems>
    </cacheField>
    <cacheField name="Calificación" uniqueList="1" numFmtId="0" sqlType="0" hierarchy="0" level="0" databaseField="1">
      <sharedItems count="0" containsBlank="1" containsNumber="1" containsString="0" minValue="6.3" maxValue="9.9"/>
    </cacheField>
  </cacheFields>
</pivotCacheDefinition>
</file>

<file path=xl/pivotCache/pivotCacheRecords1.xml><?xml version="1.0" encoding="utf-8"?>
<pivotCacheRecords xmlns="http://schemas.openxmlformats.org/spreadsheetml/2006/main" count="40">
  <r>
    <n v="1"/>
    <d v="2026-09-02T00:00:00"/>
    <x v="0"/>
    <x v="0"/>
    <x v="0"/>
    <x v="0"/>
    <n v="7.3"/>
  </r>
  <r>
    <n v="2"/>
    <d v="2026-09-03T00:00:00"/>
    <x v="0"/>
    <x v="1"/>
    <x v="0"/>
    <x v="0"/>
    <n v="8.9"/>
  </r>
  <r>
    <n v="3"/>
    <d v="2026-09-04T00:00:00"/>
    <x v="0"/>
    <x v="2"/>
    <x v="0"/>
    <x v="0"/>
    <n v="7.9"/>
  </r>
  <r>
    <n v="4"/>
    <d v="2026-09-05T00:00:00"/>
    <x v="0"/>
    <x v="3"/>
    <x v="0"/>
    <x v="0"/>
    <n v="8.699999999999999"/>
  </r>
  <r>
    <n v="5"/>
    <d v="2026-09-06T00:00:00"/>
    <x v="0"/>
    <x v="4"/>
    <x v="0"/>
    <x v="0"/>
    <n v="9.300000000000001"/>
  </r>
  <r>
    <n v="6"/>
    <d v="2026-09-06T00:00:00"/>
    <x v="0"/>
    <x v="0"/>
    <x v="1"/>
    <x v="1"/>
    <n v="6.6"/>
  </r>
  <r>
    <n v="7"/>
    <d v="2026-09-09T00:00:00"/>
    <x v="0"/>
    <x v="1"/>
    <x v="1"/>
    <x v="0"/>
    <n v="9.199999999999999"/>
  </r>
  <r>
    <n v="8"/>
    <d v="2026-09-09T00:00:00"/>
    <x v="0"/>
    <x v="2"/>
    <x v="1"/>
    <x v="1"/>
    <n v="7.2"/>
  </r>
  <r>
    <n v="9"/>
    <d v="2026-09-10T00:00:00"/>
    <x v="0"/>
    <x v="0"/>
    <x v="0"/>
    <x v="2"/>
    <m/>
  </r>
  <r>
    <n v="10"/>
    <d v="2026-09-11T00:00:00"/>
    <x v="0"/>
    <x v="3"/>
    <x v="1"/>
    <x v="1"/>
    <n v="8"/>
  </r>
  <r>
    <n v="11"/>
    <d v="2026-09-14T00:00:00"/>
    <x v="0"/>
    <x v="4"/>
    <x v="1"/>
    <x v="0"/>
    <n v="9.6"/>
  </r>
  <r>
    <n v="12"/>
    <d v="2026-09-14T00:00:00"/>
    <x v="0"/>
    <x v="2"/>
    <x v="0"/>
    <x v="2"/>
    <m/>
  </r>
  <r>
    <n v="13"/>
    <d v="2026-09-14T00:00:00"/>
    <x v="0"/>
    <x v="0"/>
    <x v="2"/>
    <x v="1"/>
    <n v="6.3"/>
  </r>
  <r>
    <n v="14"/>
    <d v="2026-09-15T00:00:00"/>
    <x v="0"/>
    <x v="1"/>
    <x v="0"/>
    <x v="0"/>
    <n v="9.5"/>
  </r>
  <r>
    <n v="15"/>
    <d v="2026-09-17T00:00:00"/>
    <x v="0"/>
    <x v="3"/>
    <x v="0"/>
    <x v="0"/>
    <n v="9.300000000000001"/>
  </r>
  <r>
    <n v="16"/>
    <d v="2026-09-18T00:00:00"/>
    <x v="0"/>
    <x v="0"/>
    <x v="3"/>
    <x v="0"/>
    <n v="7.6"/>
  </r>
  <r>
    <n v="17"/>
    <d v="2026-09-19T00:00:00"/>
    <x v="0"/>
    <x v="2"/>
    <x v="2"/>
    <x v="0"/>
    <n v="7.9"/>
  </r>
  <r>
    <n v="18"/>
    <d v="2026-09-21T00:00:00"/>
    <x v="0"/>
    <x v="1"/>
    <x v="2"/>
    <x v="0"/>
    <n v="8.9"/>
  </r>
  <r>
    <n v="19"/>
    <d v="2026-09-22T00:00:00"/>
    <x v="0"/>
    <x v="4"/>
    <x v="0"/>
    <x v="0"/>
    <n v="9.9"/>
  </r>
  <r>
    <n v="20"/>
    <d v="2026-09-22T00:00:00"/>
    <x v="0"/>
    <x v="0"/>
    <x v="0"/>
    <x v="0"/>
    <n v="7.9"/>
  </r>
  <r>
    <n v="21"/>
    <d v="2026-09-23T00:00:00"/>
    <x v="0"/>
    <x v="3"/>
    <x v="2"/>
    <x v="0"/>
    <n v="8.699999999999999"/>
  </r>
  <r>
    <n v="22"/>
    <d v="2026-09-24T00:00:00"/>
    <x v="0"/>
    <x v="2"/>
    <x v="3"/>
    <x v="0"/>
    <n v="8.199999999999999"/>
  </r>
  <r>
    <n v="23"/>
    <d v="2026-09-26T00:00:00"/>
    <x v="0"/>
    <x v="0"/>
    <x v="1"/>
    <x v="0"/>
    <n v="7.3"/>
  </r>
  <r>
    <n v="24"/>
    <d v="2026-09-27T00:00:00"/>
    <x v="0"/>
    <x v="1"/>
    <x v="3"/>
    <x v="0"/>
    <n v="9.199999999999999"/>
  </r>
  <r>
    <n v="25"/>
    <d v="2026-09-29T00:00:00"/>
    <x v="0"/>
    <x v="2"/>
    <x v="0"/>
    <x v="0"/>
    <n v="8.5"/>
  </r>
  <r>
    <n v="26"/>
    <d v="2026-09-29T00:00:00"/>
    <x v="0"/>
    <x v="3"/>
    <x v="3"/>
    <x v="0"/>
    <n v="9"/>
  </r>
  <r>
    <n v="27"/>
    <d v="2026-09-30T00:00:00"/>
    <x v="0"/>
    <x v="4"/>
    <x v="2"/>
    <x v="0"/>
    <n v="9.300000000000001"/>
  </r>
  <r>
    <n v="28"/>
    <d v="2026-09-30T00:00:00"/>
    <x v="0"/>
    <x v="0"/>
    <x v="0"/>
    <x v="0"/>
    <n v="7.6"/>
  </r>
  <r>
    <n v="29"/>
    <d v="2026-10-03T00:00:00"/>
    <x v="1"/>
    <x v="1"/>
    <x v="0"/>
    <x v="0"/>
    <n v="9.5"/>
  </r>
  <r>
    <n v="30"/>
    <d v="2026-10-04T00:00:00"/>
    <x v="1"/>
    <x v="2"/>
    <x v="1"/>
    <x v="0"/>
    <n v="7.9"/>
  </r>
  <r>
    <n v="31"/>
    <d v="2026-10-04T00:00:00"/>
    <x v="1"/>
    <x v="0"/>
    <x v="2"/>
    <x v="0"/>
    <n v="7.9"/>
  </r>
  <r>
    <n v="32"/>
    <d v="2026-10-05T00:00:00"/>
    <x v="1"/>
    <x v="3"/>
    <x v="0"/>
    <x v="0"/>
    <n v="9.300000000000001"/>
  </r>
  <r>
    <n v="33"/>
    <d v="2026-10-08T00:00:00"/>
    <x v="1"/>
    <x v="4"/>
    <x v="3"/>
    <x v="0"/>
    <n v="9.6"/>
  </r>
  <r>
    <n v="34"/>
    <d v="2026-10-08T00:00:00"/>
    <x v="1"/>
    <x v="0"/>
    <x v="3"/>
    <x v="0"/>
    <n v="7.3"/>
  </r>
  <r>
    <n v="35"/>
    <d v="2026-10-09T00:00:00"/>
    <x v="1"/>
    <x v="1"/>
    <x v="1"/>
    <x v="0"/>
    <n v="8.9"/>
  </r>
  <r>
    <n v="36"/>
    <d v="2026-10-09T00:00:00"/>
    <x v="1"/>
    <x v="2"/>
    <x v="0"/>
    <x v="0"/>
    <n v="8.199999999999999"/>
  </r>
  <r>
    <n v="37"/>
    <d v="2026-10-11T00:00:00"/>
    <x v="1"/>
    <x v="3"/>
    <x v="1"/>
    <x v="0"/>
    <n v="8.699999999999999"/>
  </r>
  <r>
    <n v="38"/>
    <d v="2026-10-14T00:00:00"/>
    <x v="1"/>
    <x v="2"/>
    <x v="2"/>
    <x v="0"/>
    <n v="8.5"/>
  </r>
  <r>
    <n v="39"/>
    <d v="2026-10-15T00:00:00"/>
    <x v="1"/>
    <x v="1"/>
    <x v="0"/>
    <x v="0"/>
    <n v="9.199999999999999"/>
  </r>
  <r>
    <n v="40"/>
    <d v="2026-10-16T00:00:00"/>
    <x v="1"/>
    <x v="4"/>
    <x v="0"/>
    <x v="0"/>
    <n v="9.9"/>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TablaDinamicaTareas" cacheId="1" dataOnRows="0" dataCaption="Valores" grandTotalCaption="Total general" showError="0" showMissing="1" updatedVersion="6"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rowHeaderCaption="Asignatura" colHeaderCaption="Estado de entrega" fieldListSortAscending="0" mdxSubqueries="0" applyNumberFormats="0" applyBorderFormats="0" applyFontFormats="0" applyPatternFormats="0" applyAlignmentFormats="0" applyWidthHeightFormats="1">
  <location ref="A7:E14" firstHeaderRow="1" firstDataRow="2" firstDataCol="1" rowPageCount="2" colPageCount="1"/>
  <pivotFields count="7">
    <pivotField dataField="1"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axis="axisPage" showDropDowns="1" compact="1" outline="1" subtotalTop="1" dragToRow="1" dragToCol="1" dragToPage="1" dragToData="1" dragOff="1" showAll="0" topAutoShow="1" itemPageCount="10" sortType="manual" defaultSubtotal="1">
      <items count="3">
        <item t="data" sd="1" x="0"/>
        <item t="data" sd="1" x="1"/>
        <item t="default" sd="1"/>
      </items>
    </pivotField>
    <pivotField axis="axisRow" showDropDowns="1" compact="1" outline="1" subtotalTop="1" dragToRow="1" dragToCol="1" dragToPage="1" dragToData="1" dragOff="1" showAll="0" topAutoShow="1" itemPageCount="10" sortType="manual" defaultSubtotal="1">
      <items count="6">
        <item t="data" sd="1" x="0"/>
        <item t="data" sd="1" x="1"/>
        <item t="data" sd="1" x="2"/>
        <item t="data" sd="1" x="3"/>
        <item t="data" sd="1" x="4"/>
        <item t="default" sd="1"/>
      </items>
    </pivotField>
    <pivotField axis="axisPage" showDropDowns="1" compact="1" outline="1" subtotalTop="1" dragToRow="1" dragToCol="1" dragToPage="1" dragToData="1" dragOff="1" showAll="0" topAutoShow="1" itemPageCount="10" sortType="manual" defaultSubtotal="1">
      <items count="5">
        <item t="data" sd="1" x="0"/>
        <item t="data" sd="1" x="1"/>
        <item t="data" sd="1" x="2"/>
        <item t="data" sd="1" x="3"/>
        <item t="default" sd="1"/>
      </items>
    </pivotField>
    <pivotField axis="axisCol" showDropDowns="1" compact="1" outline="1" subtotalTop="1" dragToRow="1" dragToCol="1" dragToPage="1" dragToData="1" dragOff="1" showAll="0" topAutoShow="1" itemPageCount="10" sortType="manual" defaultSubtotal="1">
      <items count="4">
        <item t="data" sd="1" x="0"/>
        <item t="data" sd="1" x="1"/>
        <item t="data" sd="1" x="2"/>
        <item t="default" sd="1"/>
      </items>
    </pivotField>
    <pivotField showDropDowns="1" compact="1" outline="1" subtotalTop="1" dragToRow="1" dragToCol="1" dragToPage="1" dragToData="1" dragOff="1" showAll="0" topAutoShow="1" itemPageCount="10" sortType="manual" defaultSubtotal="1"/>
  </pivotFields>
  <rowFields count="1">
    <field x="3"/>
  </rowFields>
  <rowItems count="6">
    <i t="data" r="0" i="0">
      <x v="0"/>
    </i>
    <i t="data" r="0" i="0">
      <x v="1"/>
    </i>
    <i t="data" r="0" i="0">
      <x v="2"/>
    </i>
    <i t="data" r="0" i="0">
      <x v="3"/>
    </i>
    <i t="data" r="0" i="0">
      <x v="4"/>
    </i>
    <i t="grand" r="0" i="0">
      <x v="0"/>
    </i>
  </rowItems>
  <colFields count="1">
    <field x="5"/>
  </colFields>
  <colItems count="4">
    <i t="data" r="0" i="0">
      <x v="0"/>
    </i>
    <i t="data" r="0" i="0">
      <x v="1"/>
    </i>
    <i t="data" r="0" i="0">
      <x v="2"/>
    </i>
    <i t="grand" r="0" i="0">
      <x v="0"/>
    </i>
  </colItems>
  <pageFields count="2">
    <pageField fld="2" hier="-1"/>
    <pageField fld="4" hier="-1"/>
  </pageFields>
  <dataFields count="1">
    <dataField name="Número de tareas" fld="0"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aTareas" displayName="TablaTareas" ref="A4:G44" headerRowCount="1">
  <autoFilter ref="A4:G44"/>
  <tableColumns count="7">
    <tableColumn id="1" name="N.º"/>
    <tableColumn id="2" name="Fecha de entrega"/>
    <tableColumn id="3" name="Mes"/>
    <tableColumn id="4" name="Asignatura"/>
    <tableColumn id="5" name="Tipo de actividad"/>
    <tableColumn id="6" name="Estado de entrega"/>
    <tableColumn id="7" name="Calificación"/>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pivotTable" Target="/xl/pivotTables/pivotTable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_rels/sheet7.xml.rels><Relationships xmlns="http://schemas.openxmlformats.org/package/2006/relationships"><Relationship Type="http://schemas.openxmlformats.org/officeDocument/2006/relationships/hyperlink" Target="https://www.youtube.com/watch?v=830NHbvbo5g" TargetMode="External" Id="rId1"/><Relationship Type="http://schemas.openxmlformats.org/officeDocument/2006/relationships/hyperlink" Target="https://www.youtube.com/watch?v=Oanr41Tz28U" TargetMode="External" Id="rId2"/><Relationship Type="http://schemas.openxmlformats.org/officeDocument/2006/relationships/hyperlink" Target="https://www.youtube.com/watch?v=Pfi1kE2tYBs" TargetMode="External" Id="rId3"/><Relationship Type="http://schemas.openxmlformats.org/officeDocument/2006/relationships/hyperlink" Target="https://www.youtube.com/watch?v=D3kV5dMn5fk" TargetMode="External" Id="rId4"/><Relationship Type="http://schemas.openxmlformats.org/officeDocument/2006/relationships/hyperlink" Target="https://www.youtube.com/watch?v=1SEOOoMEm78" TargetMode="External" Id="rId5"/></Relationships>
</file>

<file path=xl/worksheets/sheet1.xml><?xml version="1.0" encoding="utf-8"?>
<worksheet xmlns="http://schemas.openxmlformats.org/spreadsheetml/2006/main">
  <sheetPr>
    <outlinePr summaryBelow="1" summaryRight="1"/>
    <pageSetUpPr fitToPage="1"/>
  </sheetPr>
  <dimension ref="A1:F24"/>
  <sheetViews>
    <sheetView workbookViewId="0">
      <selection activeCell="A1" sqref="A1"/>
    </sheetView>
  </sheetViews>
  <sheetFormatPr baseColWidth="8" defaultRowHeight="15"/>
  <cols>
    <col width="20" customWidth="1" min="1" max="1"/>
    <col width="22" customWidth="1" min="2" max="2"/>
    <col width="30" customWidth="1" min="3" max="3"/>
    <col width="46" customWidth="1" min="4" max="4"/>
    <col width="38" customWidth="1" min="5" max="5"/>
    <col width="40" customWidth="1" min="6" max="6"/>
  </cols>
  <sheetData>
    <row r="1">
      <c r="A1" s="1" t="inlineStr">
        <is>
          <t>PROYECTO INTEGRADOR – ETAPA 2</t>
        </is>
      </c>
    </row>
    <row r="2">
      <c r="A2" s="2" t="inlineStr">
        <is>
          <t>Tablero de control de mi plan de carrera</t>
        </is>
      </c>
    </row>
    <row r="4">
      <c r="A4" s="3" t="inlineStr">
        <is>
          <t>[Logotipo de la institución: Insertar &gt; Imágenes]</t>
        </is>
      </c>
    </row>
    <row r="8">
      <c r="A8" s="4" t="inlineStr">
        <is>
          <t>Estudiante</t>
        </is>
      </c>
      <c r="B8" s="5" t="inlineStr">
        <is>
          <t>Valeria Ochoa</t>
        </is>
      </c>
    </row>
    <row r="9">
      <c r="A9" s="4" t="inlineStr">
        <is>
          <t>ID</t>
        </is>
      </c>
      <c r="B9" s="5" t="inlineStr">
        <is>
          <t>5277522</t>
        </is>
      </c>
    </row>
    <row r="10">
      <c r="A10" s="4" t="inlineStr">
        <is>
          <t>Institución</t>
        </is>
      </c>
      <c r="B10" s="5" t="inlineStr">
        <is>
          <t>Universidad Autónoma de Guadalajara</t>
        </is>
      </c>
    </row>
    <row r="11">
      <c r="A11" s="4" t="inlineStr">
        <is>
          <t>Carrera</t>
        </is>
      </c>
      <c r="B11" s="5" t="inlineStr">
        <is>
          <t>(completar)</t>
        </is>
      </c>
    </row>
    <row r="12">
      <c r="A12" s="4" t="inlineStr">
        <is>
          <t>Materia</t>
        </is>
      </c>
      <c r="B12" s="5" t="inlineStr">
        <is>
          <t>(completar)</t>
        </is>
      </c>
    </row>
    <row r="13">
      <c r="A13" s="4" t="inlineStr">
        <is>
          <t>Docente</t>
        </is>
      </c>
      <c r="B13" s="5" t="inlineStr">
        <is>
          <t>(completar)</t>
        </is>
      </c>
    </row>
    <row r="14">
      <c r="A14" s="4" t="inlineStr">
        <is>
          <t>Actividad</t>
        </is>
      </c>
      <c r="B14" s="5" t="inlineStr">
        <is>
          <t>Proyecto integrador – Etapa 2: tablero de control</t>
        </is>
      </c>
    </row>
    <row r="15">
      <c r="A15" s="4" t="inlineStr">
        <is>
          <t>Fecha de entrega</t>
        </is>
      </c>
      <c r="B15" s="6" t="n">
        <v>46320</v>
      </c>
    </row>
    <row r="17">
      <c r="A17" s="2" t="inlineStr">
        <is>
          <t>Plan de carrera: meta, objetivos, actividades, indicadores de desempeño y KPI</t>
        </is>
      </c>
    </row>
    <row r="18">
      <c r="A18" s="3" t="inlineStr">
        <is>
          <t>Tabla de la Etapa 1 con dos columnas nuevas: Indicador de desempeño y KPI (una por cada objetivo específico).</t>
        </is>
      </c>
    </row>
    <row r="19" ht="22" customHeight="1">
      <c r="A19" s="7" t="inlineStr">
        <is>
          <t>Meta</t>
        </is>
      </c>
      <c r="B19" s="7" t="inlineStr">
        <is>
          <t>Objetivo general</t>
        </is>
      </c>
      <c r="C19" s="7" t="inlineStr">
        <is>
          <t>Objetivos específicos</t>
        </is>
      </c>
      <c r="D19" s="7" t="inlineStr">
        <is>
          <t>Actividades</t>
        </is>
      </c>
      <c r="E19" s="7" t="inlineStr">
        <is>
          <t>Indicador de desempeño (nuevo)</t>
        </is>
      </c>
      <c r="F19" s="7" t="inlineStr">
        <is>
          <t>KPI (nuevo)</t>
        </is>
      </c>
    </row>
    <row r="20" ht="105" customHeight="1">
      <c r="A20" s="7" t="inlineStr">
        <is>
          <t>Concluir mi carrera y prepararme para oportunidades laborales.</t>
        </is>
      </c>
      <c r="B20" s="7" t="inlineStr">
        <is>
          <t>Mejorar mi rendimiento y mis competencias en 12 meses mediante planificación y hábitos sostenibles.</t>
        </is>
      </c>
      <c r="C20" s="8" t="inlineStr">
        <is>
          <t>Objetivo 1. Organizar y cumplir un horario semanal de estudio en 3 meses.
Plazo: semanal, durante 3 meses.</t>
        </is>
      </c>
      <c r="D20" s="8" t="inlineStr">
        <is>
          <t>1.1 Crear un calendario semanal con clases, entregas y tiempo de estudio.
1.2 Estudiar al menos 5 días por semana en bloques de 45–60 minutos.
1.3 Revisar cada domingo las tareas completadas y ajustar el horario.</t>
        </is>
      </c>
      <c r="E20" s="8" t="inlineStr">
        <is>
          <t>Constancia en el estudio: días a la semana en los que hago al menos un bloque de estudio de 45–60 min.
Meta: 5 días por semana.
Se registra cada semana, en la revisión del domingo.</t>
        </is>
      </c>
      <c r="F20" s="8" t="inlineStr">
        <is>
          <t>% de cumplimiento del horario = bloques realizados ÷ bloques planificados × 100.
Meta: 80 % o más.
Semáforo: verde 80 % o más; amarillo 60–79 %; rojo menos de 60 %.</t>
        </is>
      </c>
    </row>
    <row r="21" ht="105" customHeight="1">
      <c r="A21" s="9" t="n"/>
      <c r="B21" s="9" t="n"/>
      <c r="C21" s="8" t="inlineStr">
        <is>
          <t>Objetivo 2. Mejorar mi desempeño académico en las asignaturas del semestre.
Plazo: semestral.</t>
        </is>
      </c>
      <c r="D21" s="8" t="inlineStr">
        <is>
          <t>2.1 Identificar al inicio del mes las asignaturas y temas que me resultan más difíciles.
2.2 Realizar ejercicios o preguntas de repaso al menos dos veces por semana por asignatura prioritaria.
2.3 Consultar al docente o a un compañero cuando una duda continúe después de estudiar.</t>
        </is>
      </c>
      <c r="E21" s="8" t="inlineStr">
        <is>
          <t>Evolución de mis calificaciones: promedio por asignatura en cada evaluación (parcial 1, parcial 2 y final) y su variación entre parciales.
Meta: promedio general de 8.5 o más y variación positiva.
Se registra después de cada evaluación.</t>
        </is>
      </c>
      <c r="F21" s="8" t="inlineStr">
        <is>
          <t>% de tareas entregadas a tiempo = tareas entregadas en fecha ÷ tareas asignadas × 100.
Meta: 90 % o más.
Semáforo: verde 90 % o más; amarillo 75–89 %; rojo menos de 75 %.</t>
        </is>
      </c>
    </row>
    <row r="22" ht="105" customHeight="1">
      <c r="A22" s="9" t="n"/>
      <c r="B22" s="9" t="n"/>
      <c r="C22" s="8" t="inlineStr">
        <is>
          <t>Objetivo 3. Desarrollar competencias útiles para mi futuro profesional durante los próximos 12 meses.
Plazo: 6 a 12 meses.</t>
        </is>
      </c>
      <c r="D22" s="8" t="inlineStr">
        <is>
          <t>3.1 Completar al menos un curso, taller o capacitación relacionada con mi carrera.
3.2 Actualizar mi currículum con los estudios, proyectos y habilidades adquiridas.
3.3 Participar en al menos dos charlas, eventos académicos o actividades de contacto profesional.</t>
        </is>
      </c>
      <c r="E22" s="8" t="inlineStr">
        <is>
          <t>Acciones de desarrollo profesional: cursos completados, currículum actualizado (sí / no) y charlas o eventos a los que asistí.
Meta: 1 curso, currículum actualizado y 2 eventos.
Se registra cada mes.</t>
        </is>
      </c>
      <c r="F22" s="8" t="inlineStr">
        <is>
          <t>% de avance del plan profesional = promedio del avance de los 6 hitos del plan, comparado con el avance esperado a la fecha.
Meta: 100 % a los 12 meses.
Semáforo: verde si voy al día o adelantado; amarillo 70 % o más de lo esperado; rojo menos de 70 %.</t>
        </is>
      </c>
    </row>
    <row r="24" ht="28" customHeight="1">
      <c r="A24" s="10" t="inlineStr">
        <is>
          <t>Indicador de desempeño: mide cómo voy con las actividades del día a día. KPI: es el resultado clave de cada objetivo; tiene fórmula, meta y semáforo (Parmenter, 2015). Los valores actuales están en la hoja TABLERO DE CONTROL.</t>
        </is>
      </c>
    </row>
  </sheetData>
  <mergeCells count="3">
    <mergeCell ref="A24:F24"/>
    <mergeCell ref="B20:B22"/>
    <mergeCell ref="A20:A2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31"/>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7" customWidth="1" min="6" max="6"/>
    <col width="13" customWidth="1" min="7" max="7"/>
    <col width="13" customWidth="1" min="8" max="8"/>
    <col width="17" customWidth="1" min="9" max="9"/>
  </cols>
  <sheetData>
    <row r="1">
      <c r="A1" s="1" t="inlineStr">
        <is>
          <t>TABLERO DE CONTROL: RENDIMIENTO ACADÉMICO</t>
        </is>
      </c>
    </row>
    <row r="2">
      <c r="A2" s="11" t="inlineStr">
        <is>
          <t>Valeria Ochoa – ID 5277522 – Proyecto integrador, Etapa 2</t>
        </is>
      </c>
    </row>
    <row r="3">
      <c r="A3" s="4" t="inlineStr">
        <is>
          <t>Fecha de corte:</t>
        </is>
      </c>
      <c r="B3" s="12">
        <f>DATOS!B5</f>
        <v>46320.0</v>
      </c>
      <c r="C3" s="4" t="inlineStr">
        <is>
          <t>Semanas registradas:</t>
        </is>
      </c>
      <c r="E3" s="11" t="str">
        <f>COUNT(DATOS!D21:D32)&amp;" de 12"</f>
        <v>8 de 12</v>
      </c>
    </row>
    <row r="5">
      <c r="A5" s="2" t="inlineStr">
        <is>
          <t>Indicadores clave (KPI)</t>
        </is>
      </c>
    </row>
    <row r="6" ht="30" customHeight="1">
      <c r="A6" s="7" t="inlineStr">
        <is>
          <t>Indicador</t>
        </is>
      </c>
      <c r="B6" s="7" t="inlineStr">
        <is>
          <t>Objetivo</t>
        </is>
      </c>
      <c r="C6" s="7" t="inlineStr">
        <is>
          <t>Valor actual</t>
        </is>
      </c>
      <c r="D6" s="7" t="inlineStr">
        <is>
          <t>Meta</t>
        </is>
      </c>
      <c r="E6" s="7" t="inlineStr">
        <is>
          <t>Semáforo</t>
        </is>
      </c>
      <c r="F6" s="7" t="inlineStr">
        <is>
          <t>Estado</t>
        </is>
      </c>
      <c r="G6" s="7" t="inlineStr">
        <is>
          <t>Progreso hacia la meta</t>
        </is>
      </c>
      <c r="H6" s="9" t="n"/>
    </row>
    <row r="7" ht="20" customHeight="1">
      <c r="A7" s="9" t="str">
        <f>DATOS!A68</f>
        <v>Cumplimiento del horario</v>
      </c>
      <c r="B7" s="13" t="str">
        <f>DATOS!B68</f>
        <v>Obj. 1</v>
      </c>
      <c r="C7" s="14">
        <f>DATOS!C68</f>
        <v>0.8125</v>
      </c>
      <c r="D7" s="15">
        <f>DATOS!D68</f>
        <v>0.8</v>
      </c>
      <c r="E7" s="16">
        <f>DATOS!F68</f>
        <v>3</v>
      </c>
      <c r="F7" s="13" t="str">
        <f>DATOS!G68</f>
        <v>En meta</v>
      </c>
      <c r="G7" s="17">
        <f>DATOS!H68</f>
        <v>1</v>
      </c>
      <c r="H7" s="9" t="n"/>
    </row>
    <row r="8" ht="20" customHeight="1">
      <c r="A8" s="9" t="str">
        <f>DATOS!A69</f>
        <v>Días de estudio por semana</v>
      </c>
      <c r="B8" s="13" t="str">
        <f>DATOS!B69</f>
        <v>Obj. 1</v>
      </c>
      <c r="C8" s="18">
        <f>DATOS!C69</f>
        <v>4.5</v>
      </c>
      <c r="D8" s="19">
        <f>DATOS!D69</f>
        <v>5</v>
      </c>
      <c r="E8" s="16">
        <f>DATOS!F69</f>
        <v>2</v>
      </c>
      <c r="F8" s="13" t="str">
        <f>DATOS!G69</f>
        <v>En riesgo</v>
      </c>
      <c r="G8" s="17">
        <f>DATOS!H69</f>
        <v>0.9</v>
      </c>
      <c r="H8" s="9" t="n"/>
    </row>
    <row r="9" ht="20" customHeight="1">
      <c r="A9" s="9" t="str">
        <f>DATOS!A70</f>
        <v>Tareas entregadas a tiempo</v>
      </c>
      <c r="B9" s="13" t="str">
        <f>DATOS!B70</f>
        <v>Obj. 2</v>
      </c>
      <c r="C9" s="14">
        <f>DATOS!C70</f>
        <v>0.85</v>
      </c>
      <c r="D9" s="15">
        <f>DATOS!D70</f>
        <v>0.9</v>
      </c>
      <c r="E9" s="16">
        <f>DATOS!F70</f>
        <v>2</v>
      </c>
      <c r="F9" s="13" t="str">
        <f>DATOS!G70</f>
        <v>En riesgo</v>
      </c>
      <c r="G9" s="17">
        <f>DATOS!H70</f>
        <v>0.944444444444444</v>
      </c>
      <c r="H9" s="9" t="n"/>
    </row>
    <row r="10" ht="20" customHeight="1">
      <c r="A10" s="9" t="str">
        <f>DATOS!A71</f>
        <v>Promedio general</v>
      </c>
      <c r="B10" s="13" t="str">
        <f>DATOS!B71</f>
        <v>Obj. 2</v>
      </c>
      <c r="C10" s="18">
        <f>DATOS!C71</f>
        <v>8.43</v>
      </c>
      <c r="D10" s="20">
        <f>DATOS!D71</f>
        <v>8.5</v>
      </c>
      <c r="E10" s="16">
        <f>DATOS!F71</f>
        <v>2</v>
      </c>
      <c r="F10" s="13" t="str">
        <f>DATOS!G71</f>
        <v>En riesgo</v>
      </c>
      <c r="G10" s="17">
        <f>DATOS!H71</f>
        <v>0.991764705882353</v>
      </c>
      <c r="H10" s="9" t="n"/>
    </row>
    <row r="11" ht="20" customHeight="1">
      <c r="A11" s="9" t="str">
        <f>DATOS!A72</f>
        <v>Avance del plan profesional</v>
      </c>
      <c r="B11" s="13" t="str">
        <f>DATOS!B72</f>
        <v>Obj. 3</v>
      </c>
      <c r="C11" s="14">
        <f>DATOS!C72</f>
        <v>0.3</v>
      </c>
      <c r="D11" s="21">
        <f>DATOS!D72</f>
        <v>0.15</v>
      </c>
      <c r="E11" s="16">
        <f>DATOS!F72</f>
        <v>3</v>
      </c>
      <c r="F11" s="13" t="str">
        <f>DATOS!G72</f>
        <v>En meta</v>
      </c>
      <c r="G11" s="17">
        <f>DATOS!H72</f>
        <v>0.3</v>
      </c>
      <c r="H11" s="9" t="n"/>
    </row>
    <row r="13">
      <c r="A13" s="2" t="inlineStr">
        <is>
          <t>Semáforo por asignatura</t>
        </is>
      </c>
    </row>
    <row r="14" ht="30" customHeight="1">
      <c r="A14" s="7" t="inlineStr">
        <is>
          <t>Asignatura</t>
        </is>
      </c>
      <c r="B14" s="7" t="inlineStr">
        <is>
          <t>Parcial 1</t>
        </is>
      </c>
      <c r="C14" s="7" t="inlineStr">
        <is>
          <t>Parcial 2</t>
        </is>
      </c>
      <c r="D14" s="7" t="inlineStr">
        <is>
          <t>Parcial 3 / Final</t>
        </is>
      </c>
      <c r="E14" s="7" t="inlineStr">
        <is>
          <t>Promedio</t>
        </is>
      </c>
      <c r="F14" s="7" t="inlineStr">
        <is>
          <t>Variación</t>
        </is>
      </c>
      <c r="G14" s="7" t="inlineStr">
        <is>
          <t>Tareas a tiempo</t>
        </is>
      </c>
      <c r="H14" s="7" t="inlineStr">
        <is>
          <t>Semáforo</t>
        </is>
      </c>
      <c r="I14" s="7" t="inlineStr">
        <is>
          <t>Estado</t>
        </is>
      </c>
    </row>
    <row r="15" ht="20" customHeight="1">
      <c r="A15" s="9" t="str">
        <f>DATOS!A37</f>
        <v>Matemáticas</v>
      </c>
      <c r="B15" s="22">
        <f>IF(DATOS!B37="","",DATOS!B37)</f>
        <v>6.2</v>
      </c>
      <c r="C15" s="22">
        <f>IF(DATOS!C37="","",DATOS!C37)</f>
        <v>7</v>
      </c>
      <c r="D15" s="22" t="str">
        <f>IF(DATOS!D37="","",DATOS!D37)</f>
        <v/>
      </c>
      <c r="E15" s="18">
        <f>DATOS!E37</f>
        <v>6.6</v>
      </c>
      <c r="F15" s="23">
        <f>DATOS!F37</f>
        <v>0.8</v>
      </c>
      <c r="G15" s="17">
        <f>DATOS!F46</f>
        <v>0.7</v>
      </c>
      <c r="H15" s="16">
        <f>DATOS!B90</f>
        <v>1</v>
      </c>
      <c r="I15" s="13" t="str">
        <f>DATOS!C90</f>
        <v>Bajo rendimiento</v>
      </c>
    </row>
    <row r="16" ht="20" customHeight="1">
      <c r="A16" s="9" t="str">
        <f>DATOS!A38</f>
        <v>Comunicación oral y escrita</v>
      </c>
      <c r="B16" s="22">
        <f>IF(DATOS!B38="","",DATOS!B38)</f>
        <v>8.9</v>
      </c>
      <c r="C16" s="22">
        <f>IF(DATOS!C38="","",DATOS!C38)</f>
        <v>9.3</v>
      </c>
      <c r="D16" s="22" t="str">
        <f>IF(DATOS!D38="","",DATOS!D38)</f>
        <v/>
      </c>
      <c r="E16" s="18">
        <f>DATOS!E38</f>
        <v>9.1</v>
      </c>
      <c r="F16" s="23">
        <f>DATOS!F38</f>
        <v>0.4</v>
      </c>
      <c r="G16" s="17">
        <f>DATOS!F47</f>
        <v>1</v>
      </c>
      <c r="H16" s="16">
        <f>DATOS!B91</f>
        <v>3</v>
      </c>
      <c r="I16" s="13" t="str">
        <f>DATOS!C91</f>
        <v>En meta</v>
      </c>
    </row>
    <row r="17" ht="20" customHeight="1">
      <c r="A17" s="9" t="str">
        <f>DATOS!A39</f>
        <v>Inglés</v>
      </c>
      <c r="B17" s="22">
        <f>IF(DATOS!B39="","",DATOS!B39)</f>
        <v>8</v>
      </c>
      <c r="C17" s="22">
        <f>IF(DATOS!C39="","",DATOS!C39)</f>
        <v>7.8</v>
      </c>
      <c r="D17" s="22" t="str">
        <f>IF(DATOS!D39="","",DATOS!D39)</f>
        <v/>
      </c>
      <c r="E17" s="18">
        <f>DATOS!E39</f>
        <v>7.9</v>
      </c>
      <c r="F17" s="23">
        <f>DATOS!F39</f>
        <v>-0.2</v>
      </c>
      <c r="G17" s="17">
        <f>DATOS!F48</f>
        <v>0.777777777777778</v>
      </c>
      <c r="H17" s="16">
        <f>DATOS!B92</f>
        <v>2</v>
      </c>
      <c r="I17" s="13" t="str">
        <f>DATOS!C92</f>
        <v>En riesgo</v>
      </c>
    </row>
    <row r="18" ht="20" customHeight="1">
      <c r="A18" s="9" t="str">
        <f>DATOS!A40</f>
        <v>Tecnologías de información</v>
      </c>
      <c r="B18" s="22">
        <f>IF(DATOS!B40="","",DATOS!B40)</f>
        <v>8.8</v>
      </c>
      <c r="C18" s="22">
        <f>IF(DATOS!C40="","",DATOS!C40)</f>
        <v>9.2</v>
      </c>
      <c r="D18" s="22" t="str">
        <f>IF(DATOS!D40="","",DATOS!D40)</f>
        <v/>
      </c>
      <c r="E18" s="18">
        <f>DATOS!E40</f>
        <v>9</v>
      </c>
      <c r="F18" s="23">
        <f>DATOS!F40</f>
        <v>0.399999999999999</v>
      </c>
      <c r="G18" s="17">
        <f>DATOS!F49</f>
        <v>0.857142857142857</v>
      </c>
      <c r="H18" s="16">
        <f>DATOS!B93</f>
        <v>3</v>
      </c>
      <c r="I18" s="13" t="str">
        <f>DATOS!C93</f>
        <v>En meta</v>
      </c>
    </row>
    <row r="19" ht="20" customHeight="1">
      <c r="A19" s="9" t="str">
        <f>DATOS!A41</f>
        <v>Desarrollo humano</v>
      </c>
      <c r="B19" s="22">
        <f>IF(DATOS!B41="","",DATOS!B41)</f>
        <v>9.5</v>
      </c>
      <c r="C19" s="22">
        <f>IF(DATOS!C41="","",DATOS!C41)</f>
        <v>9.6</v>
      </c>
      <c r="D19" s="22" t="str">
        <f>IF(DATOS!D41="","",DATOS!D41)</f>
        <v/>
      </c>
      <c r="E19" s="18">
        <f>DATOS!E41</f>
        <v>9.55</v>
      </c>
      <c r="F19" s="23">
        <f>DATOS!F41</f>
        <v>0.0999999999999996</v>
      </c>
      <c r="G19" s="17">
        <f>DATOS!F50</f>
        <v>1</v>
      </c>
      <c r="H19" s="16">
        <f>DATOS!B94</f>
        <v>3</v>
      </c>
      <c r="I19" s="13" t="str">
        <f>DATOS!C94</f>
        <v>En meta</v>
      </c>
    </row>
    <row r="20" ht="20" customHeight="1">
      <c r="A20" s="24" t="str">
        <f>DATOS!A42</f>
        <v>Promedio general (por evaluación)</v>
      </c>
      <c r="B20" s="18">
        <f>IF(DATOS!B42="","",DATOS!B42)</f>
        <v>8.28</v>
      </c>
      <c r="C20" s="18">
        <f>IF(DATOS!C42="","",DATOS!C42)</f>
        <v>8.58</v>
      </c>
      <c r="D20" s="18" t="str">
        <f>IF(DATOS!D42="","",DATOS!D42)</f>
        <v/>
      </c>
      <c r="E20" s="18">
        <f>DATOS!E42</f>
        <v>8.43</v>
      </c>
      <c r="F20" s="25">
        <f>DATOS!F42</f>
        <v>0.300000000000001</v>
      </c>
      <c r="G20" s="26">
        <f>DATOS!F51</f>
        <v>0.85</v>
      </c>
      <c r="H20" s="16">
        <f>DATOS!F71</f>
        <v>2</v>
      </c>
      <c r="I20" s="7" t="str">
        <f>DATOS!G71</f>
        <v>En riesgo</v>
      </c>
    </row>
    <row r="22">
      <c r="A22" s="2" t="inlineStr">
        <is>
          <t>Objetivo 3: acciones de desarrollo profesional</t>
        </is>
      </c>
    </row>
    <row r="23">
      <c r="A23" s="9" t="inlineStr">
        <is>
          <t>Cursos completados</t>
        </is>
      </c>
      <c r="B23" s="13" t="str">
        <f>DATOS!B62</f>
        <v>0 de 1</v>
      </c>
    </row>
    <row r="24">
      <c r="A24" s="9" t="inlineStr">
        <is>
          <t>Currículum actualizado</t>
        </is>
      </c>
      <c r="B24" s="13" t="str">
        <f>DATOS!B63</f>
        <v>En proceso</v>
      </c>
    </row>
    <row r="25">
      <c r="A25" s="9" t="inlineStr">
        <is>
          <t>Eventos asistidos</t>
        </is>
      </c>
      <c r="B25" s="13" t="str">
        <f>DATOS!B64</f>
        <v>0 de 2</v>
      </c>
    </row>
    <row r="27">
      <c r="A27" s="2" t="inlineStr">
        <is>
          <t>Cómo leer el semáforo</t>
        </is>
      </c>
    </row>
    <row r="28">
      <c r="A28" s="27" t="inlineStr">
        <is>
          <t>Verde: en meta</t>
        </is>
      </c>
      <c r="B28" s="11" t="inlineStr">
        <is>
          <t>Alcanza o supera la meta.</t>
        </is>
      </c>
    </row>
    <row r="29">
      <c r="A29" s="28" t="inlineStr">
        <is>
          <t>Amarillo: en riesgo</t>
        </is>
      </c>
      <c r="B29" s="11" t="inlineStr">
        <is>
          <t>Debajo de la meta, pero arriba del mínimo.</t>
        </is>
      </c>
    </row>
    <row r="30">
      <c r="A30" s="29" t="inlineStr">
        <is>
          <t>Rojo: bajo rendimiento</t>
        </is>
      </c>
      <c r="B30" s="11" t="inlineStr">
        <is>
          <t>Debajo del mínimo; necesito un plan de acción.</t>
        </is>
      </c>
    </row>
    <row r="31">
      <c r="A31" s="3" t="inlineStr">
        <is>
          <t>Las metas y los umbrales se cambian en la hoja DATOS (sección 1).</t>
        </is>
      </c>
    </row>
  </sheetData>
  <mergeCells count="6">
    <mergeCell ref="G7:H7"/>
    <mergeCell ref="G10:H10"/>
    <mergeCell ref="G11:H11"/>
    <mergeCell ref="G6:H6"/>
    <mergeCell ref="G8:H8"/>
    <mergeCell ref="G9:H9"/>
  </mergeCells>
  <conditionalFormatting sqref="E7:E11">
    <cfRule type="iconSet" priority="1">
      <iconSet iconSet="3TrafficLights1" showValue="0">
        <cfvo type="num" val="0"/>
        <cfvo type="num" val="2"/>
        <cfvo type="num" val="3"/>
      </iconSet>
    </cfRule>
  </conditionalFormatting>
  <conditionalFormatting sqref="F7:F11">
    <cfRule type="expression" priority="2" dxfId="0">
      <formula>F7="En meta"</formula>
    </cfRule>
    <cfRule type="expression" priority="3" dxfId="1">
      <formula>F7="En riesgo"</formula>
    </cfRule>
    <cfRule type="expression" priority="4" dxfId="2">
      <formula>F7="Bajo rendimiento"</formula>
    </cfRule>
  </conditionalFormatting>
  <conditionalFormatting sqref="G7:G11">
    <cfRule type="dataBar" priority="5">
      <dataBar showValue="1">
        <cfvo type="num" val="0"/>
        <cfvo type="num" val="1"/>
        <color rgb="005B9BD5"/>
      </dataBar>
    </cfRule>
  </conditionalFormatting>
  <conditionalFormatting sqref="H15:H20">
    <cfRule type="iconSet" priority="6">
      <iconSet iconSet="3TrafficLights1" showValue="0">
        <cfvo type="num" val="0"/>
        <cfvo type="num" val="2"/>
        <cfvo type="num" val="3"/>
      </iconSet>
    </cfRule>
  </conditionalFormatting>
  <conditionalFormatting sqref="I15:I20">
    <cfRule type="expression" priority="7" dxfId="0">
      <formula>I15="En meta"</formula>
    </cfRule>
    <cfRule type="expression" priority="8" dxfId="1">
      <formula>I15="En riesgo"</formula>
    </cfRule>
    <cfRule type="expression" priority="9" dxfId="2">
      <formula>I15="Bajo rendimiento"</formula>
    </cfRule>
  </conditionalFormatting>
  <conditionalFormatting sqref="G15:G20">
    <cfRule type="dataBar" priority="10">
      <dataBar showValue="1">
        <cfvo type="num" val="0"/>
        <cfvo type="num" val="1"/>
        <color rgb="005B9BD5"/>
      </dataBar>
    </cfRule>
  </conditionalFormatting>
  <conditionalFormatting sqref="F15:F20">
    <cfRule type="expression" priority="11" dxfId="3">
      <formula>AND(ISNUMBER(F15),F15&gt;0)</formula>
    </cfRule>
    <cfRule type="expression" priority="12" dxfId="4">
      <formula>AND(ISNUMBER(F15),F15&lt;0)</formula>
    </cfRule>
  </conditionalFormatting>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20" customWidth="1" min="1" max="1"/>
  </cols>
  <sheetData>
    <row r="1">
      <c r="A1" s="1" t="inlineStr">
        <is>
          <t>CONCLUSIÓN</t>
        </is>
      </c>
    </row>
    <row r="3" ht="71" customHeight="1">
      <c r="A3" s="30" t="inlineStr">
        <is>
          <t>En la primera etapa definí mi meta, mi objetivo general y tres objetivos específicos con sus actividades. En esta segunda etapa me di cuenta de que un plan escrito no basta si no tengo una forma clara de saber si lo estoy cumpliendo. Por eso agregué a cada objetivo un indicador de desempeño y un KPI. El indicador me dice qué estoy haciendo en el día a día, por ejemplo cuántos días estudié en la semana. El KPI resume si voy logrando el resultado que me propuse, como cumplir al menos el 80 % de los bloques de estudio que planifiqué.</t>
        </is>
      </c>
    </row>
    <row r="5" ht="71" customHeight="1">
      <c r="A5" s="30" t="inlineStr">
        <is>
          <t>Armar el tablero en Excel también me enseñó a ordenar la información antes de graficarla. Separé los datos que registro cada semana de los cálculos y del tablero, para que todo se actualice cuando escribo un dato nuevo. Las gráficas de barras me muestran cómo cambian mis calificaciones de un parcial a otro y qué semanas cumplí mi horario; las gráficas circulares me dejan ver cuántas tareas entregué a tiempo; y las barras de progreso me recuerdan cuánto me falta para cada meta. Como dice Few (2006), un tablero sirve cuando deja ver lo importante en un solo vistazo, y eso fue lo que intenté lograr.</t>
        </is>
      </c>
    </row>
    <row r="7" ht="71" customHeight="1">
      <c r="A7" s="30" t="inlineStr">
        <is>
          <t>Lo que más me sirvió fue el semáforo. Ver una materia en amarillo o en rojo me obliga a actuar antes del examen final, cuando todavía puedo pedir ayuda, repasar con preguntas y ejercicios (una de las técnicas de estudio con mejor respaldo, según Dunlosky et al., 2013) o reorganizar mi semana. También me ayuda a reconocer mis avances cuando un indicador pasa a verde, algo que en la Etapa 1 identifiqué como una necesidad. Con el tablero tomo decisiones a partir de datos y ya no solo con la sensación de que voy bien o mal.</t>
        </is>
      </c>
    </row>
    <row r="9" ht="71" customHeight="1">
      <c r="A9" s="30" t="inlineStr">
        <is>
          <t>Para mi carrera profesional, esta etapa me deja herramientas que voy a seguir usando. En casi cualquier trabajo se habla de metas, indicadores y reportes, y saber diseñar un KPI, registrar datos y presentarlos con claridad es una habilidad que se puede aplicar en cualquier área. Además, dar seguimiento a mis propios objetivos fortalece la organización, la autonomía y la perseverancia, que son competencias que me propuse entrenar. Mi compromiso es actualizar el registro cada domingo, durante la revisión semanal de mi horario, y ajustar el plan cuando los datos me indiquen que algo no está funcionando.</t>
        </is>
      </c>
    </row>
    <row r="11" ht="19" customHeight="1">
      <c r="A11" s="31" t="inlineStr">
        <is>
          <t>Un plan me dice a dónde quiero llegar; el tablero de control me dice si voy en camino.</t>
        </is>
      </c>
    </row>
    <row r="13">
      <c r="A13" s="11" t="inlineStr">
        <is>
          <t>Valeria Ochoa – ID 5277522</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14"/>
  <sheetViews>
    <sheetView workbookViewId="0">
      <selection activeCell="A1" sqref="A1"/>
    </sheetView>
  </sheetViews>
  <sheetFormatPr baseColWidth="8" defaultRowHeight="15"/>
  <cols>
    <col width="32" customWidth="1" min="1" max="1"/>
    <col width="14" customWidth="1" min="2" max="2"/>
    <col width="14" customWidth="1" min="3" max="3"/>
    <col width="14" customWidth="1" min="4" max="4"/>
    <col width="14" customWidth="1" min="5" max="5"/>
    <col width="4" customWidth="1" min="6" max="6"/>
    <col width="80" customWidth="1" min="7" max="7"/>
  </cols>
  <sheetData>
    <row r="1">
      <c r="A1" s="1" t="inlineStr">
        <is>
          <t>TABLA DINÁMICA: TAREAS POR ASIGNATURA Y ESTADO DE ENTREGA</t>
        </is>
      </c>
    </row>
    <row r="2">
      <c r="A2" s="3" t="inlineStr">
        <is>
          <t>Fuente: hoja REGISTRO DE TAREAS (tabla TablaTareas). Se actualiza al abrir el archivo; si cambias datos con el archivo abierto: clic derecho sobre la tabla dinámica &gt; Actualizar.</t>
        </is>
      </c>
    </row>
    <row r="4">
      <c r="A4" s="4" t="inlineStr">
        <is>
          <t>Mes</t>
        </is>
      </c>
      <c r="B4" s="11" t="inlineStr">
        <is>
          <t>(Todas)</t>
        </is>
      </c>
      <c r="G4" s="4" t="inlineStr">
        <is>
          <t>Cómo usar los filtros</t>
        </is>
      </c>
    </row>
    <row r="5">
      <c r="A5" s="4" t="inlineStr">
        <is>
          <t>Tipo de actividad</t>
        </is>
      </c>
      <c r="B5" s="11" t="inlineStr">
        <is>
          <t>(Todas)</t>
        </is>
      </c>
      <c r="G5" s="11" t="inlineStr">
        <is>
          <t>1. Mes y Tipo de actividad (arriba de la tabla): elige uno o varios valores para filtrar todo.</t>
        </is>
      </c>
    </row>
    <row r="6">
      <c r="G6" s="11" t="inlineStr">
        <is>
          <t>2. Botones de Asignatura y Estado de entrega: muestran u ocultan asignaturas o estados.</t>
        </is>
      </c>
    </row>
    <row r="7">
      <c r="A7" s="4" t="inlineStr">
        <is>
          <t>Número de tareas</t>
        </is>
      </c>
      <c r="B7" s="4" t="inlineStr">
        <is>
          <t>Estado de entrega</t>
        </is>
      </c>
      <c r="G7" s="11" t="inlineStr">
        <is>
          <t>3. En la lista de campos puedes cambiar el cruce (por ejemplo, Promedio de Calificación por Mes).</t>
        </is>
      </c>
    </row>
    <row r="8">
      <c r="A8" s="4" t="inlineStr">
        <is>
          <t>Asignatura</t>
        </is>
      </c>
      <c r="B8" s="4" t="inlineStr">
        <is>
          <t>A tiempo</t>
        </is>
      </c>
      <c r="C8" s="4" t="inlineStr">
        <is>
          <t>Con retraso</t>
        </is>
      </c>
      <c r="D8" s="4" t="inlineStr">
        <is>
          <t>No entregada</t>
        </is>
      </c>
      <c r="E8" s="4" t="inlineStr">
        <is>
          <t>Total general</t>
        </is>
      </c>
    </row>
    <row r="9">
      <c r="A9" s="11" t="inlineStr">
        <is>
          <t>Matemáticas</t>
        </is>
      </c>
      <c r="B9" s="11" t="n">
        <v>7</v>
      </c>
      <c r="C9" s="11" t="n">
        <v>2</v>
      </c>
      <c r="D9" s="11" t="n">
        <v>1</v>
      </c>
      <c r="E9" s="11" t="n">
        <v>10</v>
      </c>
    </row>
    <row r="10">
      <c r="A10" s="11" t="inlineStr">
        <is>
          <t>Comunicación oral y escrita</t>
        </is>
      </c>
      <c r="B10" s="11" t="n">
        <v>8</v>
      </c>
      <c r="E10" s="11" t="n">
        <v>8</v>
      </c>
    </row>
    <row r="11">
      <c r="A11" s="11" t="inlineStr">
        <is>
          <t>Inglés</t>
        </is>
      </c>
      <c r="B11" s="11" t="n">
        <v>7</v>
      </c>
      <c r="C11" s="11" t="n">
        <v>1</v>
      </c>
      <c r="D11" s="11" t="n">
        <v>1</v>
      </c>
      <c r="E11" s="11" t="n">
        <v>9</v>
      </c>
    </row>
    <row r="12">
      <c r="A12" s="11" t="inlineStr">
        <is>
          <t>Tecnologías de información</t>
        </is>
      </c>
      <c r="B12" s="11" t="n">
        <v>6</v>
      </c>
      <c r="C12" s="11" t="n">
        <v>1</v>
      </c>
      <c r="E12" s="11" t="n">
        <v>7</v>
      </c>
    </row>
    <row r="13">
      <c r="A13" s="11" t="inlineStr">
        <is>
          <t>Desarrollo humano</t>
        </is>
      </c>
      <c r="B13" s="11" t="n">
        <v>6</v>
      </c>
      <c r="E13" s="11" t="n">
        <v>6</v>
      </c>
    </row>
    <row r="14">
      <c r="A14" s="4" t="inlineStr">
        <is>
          <t>Total general</t>
        </is>
      </c>
      <c r="B14" s="4" t="n">
        <v>34</v>
      </c>
      <c r="C14" s="4" t="n">
        <v>4</v>
      </c>
      <c r="D14" s="4" t="n">
        <v>2</v>
      </c>
      <c r="E14" s="4" t="n">
        <v>40</v>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H104"/>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6" customWidth="1" min="7" max="7"/>
    <col width="16" customWidth="1" min="8" max="8"/>
  </cols>
  <sheetData>
    <row r="1">
      <c r="A1" s="1" t="inlineStr">
        <is>
          <t>DATOS DEL TABLERO</t>
        </is>
      </c>
    </row>
    <row r="2">
      <c r="A2" s="3" t="inlineStr">
        <is>
          <t>Los números de esta hoja son de ejemplo: cámbialos por tus datos reales y el tablero se actualiza solo. Las columnas marcadas (fórmula) se calculan solas; no las escribas.</t>
        </is>
      </c>
    </row>
    <row r="4">
      <c r="A4" s="2" t="inlineStr">
        <is>
          <t>1. Parámetros y metas</t>
        </is>
      </c>
    </row>
    <row r="5">
      <c r="A5" s="9" t="inlineStr">
        <is>
          <t>Fecha de corte del reporte</t>
        </is>
      </c>
      <c r="B5" s="32" t="n">
        <v>46320</v>
      </c>
    </row>
    <row r="6">
      <c r="A6" s="9" t="inlineStr">
        <is>
          <t>Inicio del plan (lunes de la semana 1)</t>
        </is>
      </c>
      <c r="B6" s="32" t="n">
        <v>46265</v>
      </c>
    </row>
    <row r="7">
      <c r="A7" s="9" t="inlineStr">
        <is>
          <t>Duración del plan de desarrollo profesional (meses)</t>
        </is>
      </c>
      <c r="B7" s="33" t="n">
        <v>12</v>
      </c>
    </row>
    <row r="8">
      <c r="A8" s="9" t="inlineStr">
        <is>
          <t>Meses transcurridos (fórmula)</t>
        </is>
      </c>
      <c r="B8" s="34">
        <f>ROUND(MAX(0,(B5-B6)/30.44),1)</f>
        <v>1.8</v>
      </c>
    </row>
    <row r="9">
      <c r="A9" s="9" t="inlineStr">
        <is>
          <t>Avance esperado del plan profesional a la fecha (fórmula)</t>
        </is>
      </c>
      <c r="B9" s="17">
        <f>MIN(1,B8/B7)</f>
        <v>0.15</v>
      </c>
    </row>
    <row r="11">
      <c r="A11" s="7" t="inlineStr">
        <is>
          <t>Umbrales del semáforo</t>
        </is>
      </c>
      <c r="B11" s="7" t="inlineStr">
        <is>
          <t>Verde desde</t>
        </is>
      </c>
      <c r="C11" s="7" t="inlineStr">
        <is>
          <t>Amarillo desde</t>
        </is>
      </c>
    </row>
    <row r="12">
      <c r="A12" s="9" t="inlineStr">
        <is>
          <t>Cumplimiento del horario (Obj. 1)</t>
        </is>
      </c>
      <c r="B12" s="17" t="n">
        <v>0.8</v>
      </c>
      <c r="C12" s="17" t="n">
        <v>0.6</v>
      </c>
    </row>
    <row r="13">
      <c r="A13" s="9" t="inlineStr">
        <is>
          <t>Días de estudio por semana (Obj. 1)</t>
        </is>
      </c>
      <c r="B13" s="33" t="n">
        <v>5</v>
      </c>
      <c r="C13" s="33" t="n">
        <v>4</v>
      </c>
    </row>
    <row r="14">
      <c r="A14" s="9" t="inlineStr">
        <is>
          <t>Tareas entregadas a tiempo (Obj. 2)</t>
        </is>
      </c>
      <c r="B14" s="17" t="n">
        <v>0.9</v>
      </c>
      <c r="C14" s="17" t="n">
        <v>0.75</v>
      </c>
    </row>
    <row r="15">
      <c r="A15" s="9" t="inlineStr">
        <is>
          <t>Promedio de calificaciones, escala 0 a 10 (Obj. 2)</t>
        </is>
      </c>
      <c r="B15" s="34" t="n">
        <v>8.5</v>
      </c>
      <c r="C15" s="34" t="n">
        <v>7</v>
      </c>
    </row>
    <row r="16">
      <c r="A16" s="9" t="inlineStr">
        <is>
          <t>Avance del plan profesional vs. avance esperado (Obj. 3)</t>
        </is>
      </c>
      <c r="B16" s="17" t="n">
        <v>1</v>
      </c>
      <c r="C16" s="17" t="n">
        <v>0.7</v>
      </c>
    </row>
    <row r="17">
      <c r="A17" s="3" t="inlineStr">
        <is>
          <t>Rojo (bajo rendimiento) = cualquier valor por debajo del umbral amarillo.</t>
        </is>
      </c>
    </row>
    <row r="19">
      <c r="A19" s="2" t="inlineStr">
        <is>
          <t>2. Objetivo 1: horario semanal de estudio (12 semanas)</t>
        </is>
      </c>
    </row>
    <row r="20" ht="40" customHeight="1">
      <c r="A20" s="7" t="inlineStr">
        <is>
          <t>Semana</t>
        </is>
      </c>
      <c r="B20" s="7" t="inlineStr">
        <is>
          <t>Inicio de semana (fórmula)</t>
        </is>
      </c>
      <c r="C20" s="7" t="inlineStr">
        <is>
          <t>Bloques planificados</t>
        </is>
      </c>
      <c r="D20" s="7" t="inlineStr">
        <is>
          <t>Bloques realizados</t>
        </is>
      </c>
      <c r="E20" s="7" t="inlineStr">
        <is>
          <t>Días de estudio</t>
        </is>
      </c>
      <c r="F20" s="7" t="inlineStr">
        <is>
          <t>Revisión del domingo (Sí/No)</t>
        </is>
      </c>
      <c r="G20" s="7" t="inlineStr">
        <is>
          <t>% de cumplimiento (fórmula)</t>
        </is>
      </c>
      <c r="H20" s="7" t="inlineStr">
        <is>
          <t>Estado (fórmula)</t>
        </is>
      </c>
    </row>
    <row r="21">
      <c r="A21" s="9" t="inlineStr">
        <is>
          <t>Semana 1</t>
        </is>
      </c>
      <c r="B21" s="35">
        <f>$B$6+7*0</f>
        <v>46265.0</v>
      </c>
      <c r="C21" s="13" t="n">
        <v>10</v>
      </c>
      <c r="D21" s="13" t="n">
        <v>5</v>
      </c>
      <c r="E21" s="13" t="n">
        <v>3</v>
      </c>
      <c r="F21" s="13" t="inlineStr">
        <is>
          <t>No</t>
        </is>
      </c>
      <c r="G21" s="36">
        <f>IF(OR(D21="",C21=0),"",D21/C21)</f>
        <v>0.5</v>
      </c>
      <c r="H21" s="13" t="str">
        <f>IF(G21="","Pendiente",IF(G21&gt;=$B$12,"En meta",IF(G21&gt;=$C$12,"En riesgo","Bajo rendimiento")))</f>
        <v>Bajo rendimiento</v>
      </c>
    </row>
    <row r="22">
      <c r="A22" s="9" t="inlineStr">
        <is>
          <t>Semana 2</t>
        </is>
      </c>
      <c r="B22" s="35">
        <f>$B$6+7*1</f>
        <v>46272.0</v>
      </c>
      <c r="C22" s="13" t="n">
        <v>10</v>
      </c>
      <c r="D22" s="13" t="n">
        <v>7</v>
      </c>
      <c r="E22" s="13" t="n">
        <v>4</v>
      </c>
      <c r="F22" s="13" t="inlineStr">
        <is>
          <t>Sí</t>
        </is>
      </c>
      <c r="G22" s="36">
        <f>IF(OR(D22="",C22=0),"",D22/C22)</f>
        <v>0.7</v>
      </c>
      <c r="H22" s="13" t="str">
        <f>IF(G22="","Pendiente",IF(G22&gt;=$B$12,"En meta",IF(G22&gt;=$C$12,"En riesgo","Bajo rendimiento")))</f>
        <v>En riesgo</v>
      </c>
    </row>
    <row r="23">
      <c r="A23" s="9" t="inlineStr">
        <is>
          <t>Semana 3</t>
        </is>
      </c>
      <c r="B23" s="35">
        <f>$B$6+7*2</f>
        <v>46279.0</v>
      </c>
      <c r="C23" s="13" t="n">
        <v>10</v>
      </c>
      <c r="D23" s="13" t="n">
        <v>8</v>
      </c>
      <c r="E23" s="13" t="n">
        <v>5</v>
      </c>
      <c r="F23" s="13" t="inlineStr">
        <is>
          <t>Sí</t>
        </is>
      </c>
      <c r="G23" s="36">
        <f>IF(OR(D23="",C23=0),"",D23/C23)</f>
        <v>0.8</v>
      </c>
      <c r="H23" s="13" t="str">
        <f>IF(G23="","Pendiente",IF(G23&gt;=$B$12,"En meta",IF(G23&gt;=$C$12,"En riesgo","Bajo rendimiento")))</f>
        <v>En meta</v>
      </c>
    </row>
    <row r="24">
      <c r="A24" s="9" t="inlineStr">
        <is>
          <t>Semana 4</t>
        </is>
      </c>
      <c r="B24" s="35">
        <f>$B$6+7*3</f>
        <v>46286.0</v>
      </c>
      <c r="C24" s="13" t="n">
        <v>10</v>
      </c>
      <c r="D24" s="13" t="n">
        <v>9</v>
      </c>
      <c r="E24" s="13" t="n">
        <v>5</v>
      </c>
      <c r="F24" s="13" t="inlineStr">
        <is>
          <t>Sí</t>
        </is>
      </c>
      <c r="G24" s="36">
        <f>IF(OR(D24="",C24=0),"",D24/C24)</f>
        <v>0.9</v>
      </c>
      <c r="H24" s="13" t="str">
        <f>IF(G24="","Pendiente",IF(G24&gt;=$B$12,"En meta",IF(G24&gt;=$C$12,"En riesgo","Bajo rendimiento")))</f>
        <v>En meta</v>
      </c>
    </row>
    <row r="25">
      <c r="A25" s="9" t="inlineStr">
        <is>
          <t>Semana 5</t>
        </is>
      </c>
      <c r="B25" s="35">
        <f>$B$6+7*4</f>
        <v>46293.0</v>
      </c>
      <c r="C25" s="13" t="n">
        <v>10</v>
      </c>
      <c r="D25" s="13" t="n">
        <v>7</v>
      </c>
      <c r="E25" s="13" t="n">
        <v>4</v>
      </c>
      <c r="F25" s="13" t="inlineStr">
        <is>
          <t>No</t>
        </is>
      </c>
      <c r="G25" s="36">
        <f>IF(OR(D25="",C25=0),"",D25/C25)</f>
        <v>0.7</v>
      </c>
      <c r="H25" s="13" t="str">
        <f>IF(G25="","Pendiente",IF(G25&gt;=$B$12,"En meta",IF(G25&gt;=$C$12,"En riesgo","Bajo rendimiento")))</f>
        <v>En riesgo</v>
      </c>
    </row>
    <row r="26">
      <c r="A26" s="9" t="inlineStr">
        <is>
          <t>Semana 6</t>
        </is>
      </c>
      <c r="B26" s="35">
        <f>$B$6+7*5</f>
        <v>46300.0</v>
      </c>
      <c r="C26" s="13" t="n">
        <v>10</v>
      </c>
      <c r="D26" s="13" t="n">
        <v>9</v>
      </c>
      <c r="E26" s="13" t="n">
        <v>5</v>
      </c>
      <c r="F26" s="13" t="inlineStr">
        <is>
          <t>Sí</t>
        </is>
      </c>
      <c r="G26" s="36">
        <f>IF(OR(D26="",C26=0),"",D26/C26)</f>
        <v>0.9</v>
      </c>
      <c r="H26" s="13" t="str">
        <f>IF(G26="","Pendiente",IF(G26&gt;=$B$12,"En meta",IF(G26&gt;=$C$12,"En riesgo","Bajo rendimiento")))</f>
        <v>En meta</v>
      </c>
    </row>
    <row r="27">
      <c r="A27" s="9" t="inlineStr">
        <is>
          <t>Semana 7</t>
        </is>
      </c>
      <c r="B27" s="35">
        <f>$B$6+7*6</f>
        <v>46307.0</v>
      </c>
      <c r="C27" s="13" t="n">
        <v>10</v>
      </c>
      <c r="D27" s="13" t="n">
        <v>10</v>
      </c>
      <c r="E27" s="13" t="n">
        <v>5</v>
      </c>
      <c r="F27" s="13" t="inlineStr">
        <is>
          <t>Sí</t>
        </is>
      </c>
      <c r="G27" s="36">
        <f>IF(OR(D27="",C27=0),"",D27/C27)</f>
        <v>1</v>
      </c>
      <c r="H27" s="13" t="str">
        <f>IF(G27="","Pendiente",IF(G27&gt;=$B$12,"En meta",IF(G27&gt;=$C$12,"En riesgo","Bajo rendimiento")))</f>
        <v>En meta</v>
      </c>
    </row>
    <row r="28">
      <c r="A28" s="9" t="inlineStr">
        <is>
          <t>Semana 8</t>
        </is>
      </c>
      <c r="B28" s="35">
        <f>$B$6+7*7</f>
        <v>46314.0</v>
      </c>
      <c r="C28" s="13" t="n">
        <v>10</v>
      </c>
      <c r="D28" s="13" t="n">
        <v>10</v>
      </c>
      <c r="E28" s="13" t="n">
        <v>5</v>
      </c>
      <c r="F28" s="13" t="inlineStr">
        <is>
          <t>Sí</t>
        </is>
      </c>
      <c r="G28" s="36">
        <f>IF(OR(D28="",C28=0),"",D28/C28)</f>
        <v>1</v>
      </c>
      <c r="H28" s="13" t="str">
        <f>IF(G28="","Pendiente",IF(G28&gt;=$B$12,"En meta",IF(G28&gt;=$C$12,"En riesgo","Bajo rendimiento")))</f>
        <v>En meta</v>
      </c>
    </row>
    <row r="29">
      <c r="A29" s="9" t="inlineStr">
        <is>
          <t>Semana 9</t>
        </is>
      </c>
      <c r="B29" s="35">
        <f>$B$6+7*8</f>
        <v>46321.0</v>
      </c>
      <c r="C29" s="13" t="n">
        <v>10</v>
      </c>
      <c r="D29" s="9" t="n"/>
      <c r="E29" s="9" t="n"/>
      <c r="F29" s="9" t="n"/>
      <c r="G29" s="36" t="str">
        <f>IF(OR(D29="",C29=0),"",D29/C29)</f>
        <v/>
      </c>
      <c r="H29" s="13" t="str">
        <f>IF(G29="","Pendiente",IF(G29&gt;=$B$12,"En meta",IF(G29&gt;=$C$12,"En riesgo","Bajo rendimiento")))</f>
        <v>Pendiente</v>
      </c>
    </row>
    <row r="30">
      <c r="A30" s="9" t="inlineStr">
        <is>
          <t>Semana 10</t>
        </is>
      </c>
      <c r="B30" s="35">
        <f>$B$6+7*9</f>
        <v>46328.0</v>
      </c>
      <c r="C30" s="13" t="n">
        <v>10</v>
      </c>
      <c r="D30" s="9" t="n"/>
      <c r="E30" s="9" t="n"/>
      <c r="F30" s="9" t="n"/>
      <c r="G30" s="36" t="str">
        <f>IF(OR(D30="",C30=0),"",D30/C30)</f>
        <v/>
      </c>
      <c r="H30" s="13" t="str">
        <f>IF(G30="","Pendiente",IF(G30&gt;=$B$12,"En meta",IF(G30&gt;=$C$12,"En riesgo","Bajo rendimiento")))</f>
        <v>Pendiente</v>
      </c>
    </row>
    <row r="31">
      <c r="A31" s="9" t="inlineStr">
        <is>
          <t>Semana 11</t>
        </is>
      </c>
      <c r="B31" s="35">
        <f>$B$6+7*10</f>
        <v>46335.0</v>
      </c>
      <c r="C31" s="13" t="n">
        <v>10</v>
      </c>
      <c r="D31" s="9" t="n"/>
      <c r="E31" s="9" t="n"/>
      <c r="F31" s="9" t="n"/>
      <c r="G31" s="36" t="str">
        <f>IF(OR(D31="",C31=0),"",D31/C31)</f>
        <v/>
      </c>
      <c r="H31" s="13" t="str">
        <f>IF(G31="","Pendiente",IF(G31&gt;=$B$12,"En meta",IF(G31&gt;=$C$12,"En riesgo","Bajo rendimiento")))</f>
        <v>Pendiente</v>
      </c>
    </row>
    <row r="32">
      <c r="A32" s="9" t="inlineStr">
        <is>
          <t>Semana 12</t>
        </is>
      </c>
      <c r="B32" s="35">
        <f>$B$6+7*11</f>
        <v>46342.0</v>
      </c>
      <c r="C32" s="13" t="n">
        <v>10</v>
      </c>
      <c r="D32" s="9" t="n"/>
      <c r="E32" s="9" t="n"/>
      <c r="F32" s="9" t="n"/>
      <c r="G32" s="36" t="str">
        <f>IF(OR(D32="",C32=0),"",D32/C32)</f>
        <v/>
      </c>
      <c r="H32" s="13" t="str">
        <f>IF(G32="","Pendiente",IF(G32&gt;=$B$12,"En meta",IF(G32&gt;=$C$12,"En riesgo","Bajo rendimiento")))</f>
        <v>Pendiente</v>
      </c>
    </row>
    <row r="33">
      <c r="A33" s="24" t="inlineStr">
        <is>
          <t>Total de las semanas registradas</t>
        </is>
      </c>
      <c r="B33" s="7" t="str">
        <f>COUNT(D21:D32)&amp;" de 12"</f>
        <v>8 de 12</v>
      </c>
      <c r="C33" s="7">
        <f>SUMPRODUCT((D21:D32&lt;&gt;"")*C21:C32)</f>
        <v>80</v>
      </c>
      <c r="D33" s="7">
        <f>SUM(D21:D32)</f>
        <v>65</v>
      </c>
      <c r="E33" s="18">
        <f>IFERROR(AVERAGE(E21:E32),0)</f>
        <v>4.5</v>
      </c>
      <c r="F33" s="7">
        <f>COUNTIF(F21:F32,"Sí")</f>
        <v>6</v>
      </c>
      <c r="G33" s="14">
        <f>IF(C33=0,0,D33/C33)</f>
        <v>0.8125</v>
      </c>
      <c r="H33" s="7" t="str">
        <f>IF(G33&gt;=$B$12,"En meta",IF(G33&gt;=$C$12,"En riesgo","Bajo rendimiento"))</f>
        <v>En meta</v>
      </c>
    </row>
    <row r="35">
      <c r="A35" s="2" t="inlineStr">
        <is>
          <t>3. Objetivo 2: calificaciones por asignatura (escala 0 a 10)</t>
        </is>
      </c>
    </row>
    <row r="36" ht="30" customHeight="1">
      <c r="A36" s="7" t="inlineStr">
        <is>
          <t>Asignatura</t>
        </is>
      </c>
      <c r="B36" s="7" t="inlineStr">
        <is>
          <t>Parcial 1</t>
        </is>
      </c>
      <c r="C36" s="7" t="inlineStr">
        <is>
          <t>Parcial 2</t>
        </is>
      </c>
      <c r="D36" s="7" t="inlineStr">
        <is>
          <t>Parcial 3 / Final</t>
        </is>
      </c>
      <c r="E36" s="7" t="inlineStr">
        <is>
          <t>Promedio (fórmula)</t>
        </is>
      </c>
      <c r="F36" s="7" t="inlineStr">
        <is>
          <t>Variación (fórmula)</t>
        </is>
      </c>
      <c r="G36" s="7" t="inlineStr">
        <is>
          <t>Estado (fórmula)</t>
        </is>
      </c>
    </row>
    <row r="37">
      <c r="A37" s="9" t="inlineStr">
        <is>
          <t>Matemáticas</t>
        </is>
      </c>
      <c r="B37" s="22" t="n">
        <v>6.2</v>
      </c>
      <c r="C37" s="22" t="n">
        <v>7</v>
      </c>
      <c r="D37" s="22" t="n"/>
      <c r="E37" s="22">
        <f>IF(COUNT(B37:D37)=0,"",AVERAGE(B37:D37))</f>
        <v>6.6</v>
      </c>
      <c r="F37" s="23">
        <f>IFERROR(IF(COUNT(B37:D37)&lt;2,"",IF(D37&lt;&gt;"",D37,C37)-B37),"")</f>
        <v>0.8</v>
      </c>
      <c r="G37" s="13" t="str">
        <f>IF(E37="","Pendiente",IF(E37&gt;=$B$15,"En meta",IF(E37&gt;=$C$15,"En riesgo","Bajo rendimiento")))</f>
        <v>Bajo rendimiento</v>
      </c>
    </row>
    <row r="38">
      <c r="A38" s="9" t="inlineStr">
        <is>
          <t>Comunicación oral y escrita</t>
        </is>
      </c>
      <c r="B38" s="22" t="n">
        <v>8.9</v>
      </c>
      <c r="C38" s="22" t="n">
        <v>9.300000000000001</v>
      </c>
      <c r="D38" s="22" t="n"/>
      <c r="E38" s="22">
        <f>IF(COUNT(B38:D38)=0,"",AVERAGE(B38:D38))</f>
        <v>9.1</v>
      </c>
      <c r="F38" s="23">
        <f>IFERROR(IF(COUNT(B38:D38)&lt;2,"",IF(D38&lt;&gt;"",D38,C38)-B38),"")</f>
        <v>0.4</v>
      </c>
      <c r="G38" s="13" t="str">
        <f>IF(E38="","Pendiente",IF(E38&gt;=$B$15,"En meta",IF(E38&gt;=$C$15,"En riesgo","Bajo rendimiento")))</f>
        <v>En meta</v>
      </c>
    </row>
    <row r="39">
      <c r="A39" s="9" t="inlineStr">
        <is>
          <t>Inglés</t>
        </is>
      </c>
      <c r="B39" s="22" t="n">
        <v>8</v>
      </c>
      <c r="C39" s="22" t="n">
        <v>7.8</v>
      </c>
      <c r="D39" s="22" t="n"/>
      <c r="E39" s="22">
        <f>IF(COUNT(B39:D39)=0,"",AVERAGE(B39:D39))</f>
        <v>7.9</v>
      </c>
      <c r="F39" s="23">
        <f>IFERROR(IF(COUNT(B39:D39)&lt;2,"",IF(D39&lt;&gt;"",D39,C39)-B39),"")</f>
        <v>-0.2</v>
      </c>
      <c r="G39" s="13" t="str">
        <f>IF(E39="","Pendiente",IF(E39&gt;=$B$15,"En meta",IF(E39&gt;=$C$15,"En riesgo","Bajo rendimiento")))</f>
        <v>En riesgo</v>
      </c>
    </row>
    <row r="40">
      <c r="A40" s="9" t="inlineStr">
        <is>
          <t>Tecnologías de información</t>
        </is>
      </c>
      <c r="B40" s="22" t="n">
        <v>8.800000000000001</v>
      </c>
      <c r="C40" s="22" t="n">
        <v>9.199999999999999</v>
      </c>
      <c r="D40" s="22" t="n"/>
      <c r="E40" s="22">
        <f>IF(COUNT(B40:D40)=0,"",AVERAGE(B40:D40))</f>
        <v>9</v>
      </c>
      <c r="F40" s="23">
        <f>IFERROR(IF(COUNT(B40:D40)&lt;2,"",IF(D40&lt;&gt;"",D40,C40)-B40),"")</f>
        <v>0.399999999999999</v>
      </c>
      <c r="G40" s="13" t="str">
        <f>IF(E40="","Pendiente",IF(E40&gt;=$B$15,"En meta",IF(E40&gt;=$C$15,"En riesgo","Bajo rendimiento")))</f>
        <v>En meta</v>
      </c>
    </row>
    <row r="41">
      <c r="A41" s="9" t="inlineStr">
        <is>
          <t>Desarrollo humano</t>
        </is>
      </c>
      <c r="B41" s="22" t="n">
        <v>9.5</v>
      </c>
      <c r="C41" s="22" t="n">
        <v>9.6</v>
      </c>
      <c r="D41" s="22" t="n"/>
      <c r="E41" s="22">
        <f>IF(COUNT(B41:D41)=0,"",AVERAGE(B41:D41))</f>
        <v>9.55</v>
      </c>
      <c r="F41" s="23">
        <f>IFERROR(IF(COUNT(B41:D41)&lt;2,"",IF(D41&lt;&gt;"",D41,C41)-B41),"")</f>
        <v>0.0999999999999996</v>
      </c>
      <c r="G41" s="13" t="str">
        <f>IF(E41="","Pendiente",IF(E41&gt;=$B$15,"En meta",IF(E41&gt;=$C$15,"En riesgo","Bajo rendimiento")))</f>
        <v>En meta</v>
      </c>
    </row>
    <row r="42">
      <c r="A42" s="24" t="inlineStr">
        <is>
          <t>Promedio general (por evaluación)</t>
        </is>
      </c>
      <c r="B42" s="18">
        <f>IFERROR(AVERAGE(B37:B41),"")</f>
        <v>8.28</v>
      </c>
      <c r="C42" s="18">
        <f>IFERROR(AVERAGE(C37:C41),"")</f>
        <v>8.58</v>
      </c>
      <c r="D42" s="18" t="str">
        <f>IFERROR(AVERAGE(D37:D41),"")</f>
        <v/>
      </c>
      <c r="E42" s="18">
        <f>IFERROR(AVERAGE(E37:E41),0)</f>
        <v>8.43</v>
      </c>
      <c r="F42" s="25">
        <f>IFERROR(IF(COUNT(B42:D42)&lt;2,"",IF(D42&lt;&gt;"",D42,C42)-B42),"")</f>
        <v>0.300000000000001</v>
      </c>
      <c r="G42" s="7" t="str">
        <f>IF(E42&gt;=$B$15,"En meta",IF(E42&gt;=$C$15,"En riesgo","Bajo rendimiento"))</f>
        <v>En riesgo</v>
      </c>
    </row>
    <row r="44">
      <c r="A44" s="2" t="inlineStr">
        <is>
          <t>4. Objetivo 2: entrega de tareas (se calcula sola desde la hoja REGISTRO DE TAREAS)</t>
        </is>
      </c>
    </row>
    <row r="45" ht="40" customHeight="1">
      <c r="A45" s="7" t="inlineStr">
        <is>
          <t>Asignatura</t>
        </is>
      </c>
      <c r="B45" s="7" t="inlineStr">
        <is>
          <t>Tareas asignadas (fórmula)</t>
        </is>
      </c>
      <c r="C45" s="7" t="inlineStr">
        <is>
          <t>Entregadas a tiempo (fórmula)</t>
        </is>
      </c>
      <c r="D45" s="7" t="inlineStr">
        <is>
          <t>Entregadas con retraso (fórmula)</t>
        </is>
      </c>
      <c r="E45" s="7" t="inlineStr">
        <is>
          <t>No entregadas (fórmula)</t>
        </is>
      </c>
      <c r="F45" s="7" t="inlineStr">
        <is>
          <t>% a tiempo (fórmula)</t>
        </is>
      </c>
      <c r="G45" s="7" t="inlineStr">
        <is>
          <t>Estado (fórmula)</t>
        </is>
      </c>
    </row>
    <row r="46">
      <c r="A46" s="9" t="str">
        <f>A37</f>
        <v>Matemáticas</v>
      </c>
      <c r="B46" s="13">
        <f>COUNTIF('REGISTRO DE TAREAS'!$D$5:$D$300,A46)</f>
        <v>10</v>
      </c>
      <c r="C46" s="13">
        <f>COUNTIFS('REGISTRO DE TAREAS'!$D$5:$D$300,A46,'REGISTRO DE TAREAS'!$F$5:$F$300,"A tiempo")</f>
        <v>7</v>
      </c>
      <c r="D46" s="13">
        <f>COUNTIFS('REGISTRO DE TAREAS'!$D$5:$D$300,A46,'REGISTRO DE TAREAS'!$F$5:$F$300,"Con retraso")</f>
        <v>2</v>
      </c>
      <c r="E46" s="13">
        <f>MAX(0,B46-C46-D46)</f>
        <v>1</v>
      </c>
      <c r="F46" s="36">
        <f>IF(B46=0,"",C46/B46)</f>
        <v>0.7</v>
      </c>
      <c r="G46" s="13" t="str">
        <f>IF(F46="","Pendiente",IF(F46&gt;=$B$14,"En meta",IF(F46&gt;=$C$14,"En riesgo","Bajo rendimiento")))</f>
        <v>Bajo rendimiento</v>
      </c>
    </row>
    <row r="47">
      <c r="A47" s="9" t="str">
        <f>A38</f>
        <v>Comunicación oral y escrita</v>
      </c>
      <c r="B47" s="13">
        <f>COUNTIF('REGISTRO DE TAREAS'!$D$5:$D$300,A47)</f>
        <v>8</v>
      </c>
      <c r="C47" s="13">
        <f>COUNTIFS('REGISTRO DE TAREAS'!$D$5:$D$300,A47,'REGISTRO DE TAREAS'!$F$5:$F$300,"A tiempo")</f>
        <v>8</v>
      </c>
      <c r="D47" s="13">
        <f>COUNTIFS('REGISTRO DE TAREAS'!$D$5:$D$300,A47,'REGISTRO DE TAREAS'!$F$5:$F$300,"Con retraso")</f>
        <v>0</v>
      </c>
      <c r="E47" s="13">
        <f>MAX(0,B47-C47-D47)</f>
        <v>0</v>
      </c>
      <c r="F47" s="36">
        <f>IF(B47=0,"",C47/B47)</f>
        <v>1</v>
      </c>
      <c r="G47" s="13" t="str">
        <f>IF(F47="","Pendiente",IF(F47&gt;=$B$14,"En meta",IF(F47&gt;=$C$14,"En riesgo","Bajo rendimiento")))</f>
        <v>En meta</v>
      </c>
    </row>
    <row r="48">
      <c r="A48" s="9" t="str">
        <f>A39</f>
        <v>Inglés</v>
      </c>
      <c r="B48" s="13">
        <f>COUNTIF('REGISTRO DE TAREAS'!$D$5:$D$300,A48)</f>
        <v>9</v>
      </c>
      <c r="C48" s="13">
        <f>COUNTIFS('REGISTRO DE TAREAS'!$D$5:$D$300,A48,'REGISTRO DE TAREAS'!$F$5:$F$300,"A tiempo")</f>
        <v>7</v>
      </c>
      <c r="D48" s="13">
        <f>COUNTIFS('REGISTRO DE TAREAS'!$D$5:$D$300,A48,'REGISTRO DE TAREAS'!$F$5:$F$300,"Con retraso")</f>
        <v>1</v>
      </c>
      <c r="E48" s="13">
        <f>MAX(0,B48-C48-D48)</f>
        <v>1</v>
      </c>
      <c r="F48" s="36">
        <f>IF(B48=0,"",C48/B48)</f>
        <v>0.777777777777778</v>
      </c>
      <c r="G48" s="13" t="str">
        <f>IF(F48="","Pendiente",IF(F48&gt;=$B$14,"En meta",IF(F48&gt;=$C$14,"En riesgo","Bajo rendimiento")))</f>
        <v>En riesgo</v>
      </c>
    </row>
    <row r="49">
      <c r="A49" s="9" t="str">
        <f>A40</f>
        <v>Tecnologías de información</v>
      </c>
      <c r="B49" s="13">
        <f>COUNTIF('REGISTRO DE TAREAS'!$D$5:$D$300,A49)</f>
        <v>7</v>
      </c>
      <c r="C49" s="13">
        <f>COUNTIFS('REGISTRO DE TAREAS'!$D$5:$D$300,A49,'REGISTRO DE TAREAS'!$F$5:$F$300,"A tiempo")</f>
        <v>6</v>
      </c>
      <c r="D49" s="13">
        <f>COUNTIFS('REGISTRO DE TAREAS'!$D$5:$D$300,A49,'REGISTRO DE TAREAS'!$F$5:$F$300,"Con retraso")</f>
        <v>1</v>
      </c>
      <c r="E49" s="13">
        <f>MAX(0,B49-C49-D49)</f>
        <v>0</v>
      </c>
      <c r="F49" s="36">
        <f>IF(B49=0,"",C49/B49)</f>
        <v>0.857142857142857</v>
      </c>
      <c r="G49" s="13" t="str">
        <f>IF(F49="","Pendiente",IF(F49&gt;=$B$14,"En meta",IF(F49&gt;=$C$14,"En riesgo","Bajo rendimiento")))</f>
        <v>En riesgo</v>
      </c>
    </row>
    <row r="50">
      <c r="A50" s="9" t="str">
        <f>A41</f>
        <v>Desarrollo humano</v>
      </c>
      <c r="B50" s="13">
        <f>COUNTIF('REGISTRO DE TAREAS'!$D$5:$D$300,A50)</f>
        <v>6</v>
      </c>
      <c r="C50" s="13">
        <f>COUNTIFS('REGISTRO DE TAREAS'!$D$5:$D$300,A50,'REGISTRO DE TAREAS'!$F$5:$F$300,"A tiempo")</f>
        <v>6</v>
      </c>
      <c r="D50" s="13">
        <f>COUNTIFS('REGISTRO DE TAREAS'!$D$5:$D$300,A50,'REGISTRO DE TAREAS'!$F$5:$F$300,"Con retraso")</f>
        <v>0</v>
      </c>
      <c r="E50" s="13">
        <f>MAX(0,B50-C50-D50)</f>
        <v>0</v>
      </c>
      <c r="F50" s="36">
        <f>IF(B50=0,"",C50/B50)</f>
        <v>1</v>
      </c>
      <c r="G50" s="13" t="str">
        <f>IF(F50="","Pendiente",IF(F50&gt;=$B$14,"En meta",IF(F50&gt;=$C$14,"En riesgo","Bajo rendimiento")))</f>
        <v>En meta</v>
      </c>
    </row>
    <row r="51">
      <c r="A51" s="24" t="inlineStr">
        <is>
          <t>Total</t>
        </is>
      </c>
      <c r="B51" s="7">
        <f>SUM(B46:B50)</f>
        <v>40</v>
      </c>
      <c r="C51" s="7">
        <f>SUM(C46:C50)</f>
        <v>34</v>
      </c>
      <c r="D51" s="7">
        <f>SUM(D46:D50)</f>
        <v>4</v>
      </c>
      <c r="E51" s="7">
        <f>SUM(E46:E50)</f>
        <v>2</v>
      </c>
      <c r="F51" s="14">
        <f>IF(B51=0,0,C51/B51)</f>
        <v>0.85</v>
      </c>
      <c r="G51" s="7" t="str">
        <f>IF(F51&gt;=$B$14,"En meta",IF(F51&gt;=$C$14,"En riesgo","Bajo rendimiento"))</f>
        <v>En riesgo</v>
      </c>
    </row>
    <row r="53">
      <c r="A53" s="2" t="inlineStr">
        <is>
          <t>5. Objetivo 3: plan de desarrollo profesional (12 meses)</t>
        </is>
      </c>
    </row>
    <row r="54">
      <c r="A54" s="7" t="inlineStr">
        <is>
          <t>Hito / actividad</t>
        </is>
      </c>
      <c r="B54" s="7" t="inlineStr">
        <is>
          <t>Tipo</t>
        </is>
      </c>
      <c r="C54" s="7" t="inlineStr">
        <is>
          <t>Mes programado</t>
        </is>
      </c>
      <c r="D54" s="7" t="inlineStr">
        <is>
          <t>% de avance</t>
        </is>
      </c>
      <c r="E54" s="7" t="inlineStr">
        <is>
          <t>Estado (fórmula)</t>
        </is>
      </c>
    </row>
    <row r="55">
      <c r="A55" s="9" t="inlineStr">
        <is>
          <t>Elegir un curso o taller relacionado con mi carrera</t>
        </is>
      </c>
      <c r="B55" s="13" t="inlineStr">
        <is>
          <t>Planeación</t>
        </is>
      </c>
      <c r="C55" s="13" t="n">
        <v>1</v>
      </c>
      <c r="D55" s="36" t="n">
        <v>1</v>
      </c>
      <c r="E55" s="13" t="str">
        <f>IF(D55&gt;=1,"Completado",IF(D55&gt;0,"En proceso","Pendiente"))</f>
        <v>Completado</v>
      </c>
    </row>
    <row r="56">
      <c r="A56" s="9" t="inlineStr">
        <is>
          <t>Completar el curso o taller y obtener la constancia</t>
        </is>
      </c>
      <c r="B56" s="13" t="inlineStr">
        <is>
          <t>Curso</t>
        </is>
      </c>
      <c r="C56" s="13" t="n">
        <v>6</v>
      </c>
      <c r="D56" s="36" t="n">
        <v>0.3</v>
      </c>
      <c r="E56" s="13" t="str">
        <f>IF(D56&gt;=1,"Completado",IF(D56&gt;0,"En proceso","Pendiente"))</f>
        <v>En proceso</v>
      </c>
    </row>
    <row r="57">
      <c r="A57" s="9" t="inlineStr">
        <is>
          <t>Actualizar mi currículum con estudios, proyectos y habilidades</t>
        </is>
      </c>
      <c r="B57" s="13" t="inlineStr">
        <is>
          <t>Currículum</t>
        </is>
      </c>
      <c r="C57" s="13" t="n">
        <v>3</v>
      </c>
      <c r="D57" s="36" t="n">
        <v>0.5</v>
      </c>
      <c r="E57" s="13" t="str">
        <f>IF(D57&gt;=1,"Completado",IF(D57&gt;0,"En proceso","Pendiente"))</f>
        <v>En proceso</v>
      </c>
    </row>
    <row r="58">
      <c r="A58" s="9" t="inlineStr">
        <is>
          <t>Asistir a una charla o evento académico</t>
        </is>
      </c>
      <c r="B58" s="13" t="inlineStr">
        <is>
          <t>Evento</t>
        </is>
      </c>
      <c r="C58" s="13" t="n">
        <v>4</v>
      </c>
      <c r="D58" s="36" t="n">
        <v>0</v>
      </c>
      <c r="E58" s="13" t="str">
        <f>IF(D58&gt;=1,"Completado",IF(D58&gt;0,"En proceso","Pendiente"))</f>
        <v>Pendiente</v>
      </c>
    </row>
    <row r="59">
      <c r="A59" s="9" t="inlineStr">
        <is>
          <t>Asistir a una segunda charla o actividad de contacto profesional</t>
        </is>
      </c>
      <c r="B59" s="13" t="inlineStr">
        <is>
          <t>Evento</t>
        </is>
      </c>
      <c r="C59" s="13" t="n">
        <v>9</v>
      </c>
      <c r="D59" s="36" t="n">
        <v>0</v>
      </c>
      <c r="E59" s="13" t="str">
        <f>IF(D59&gt;=1,"Completado",IF(D59&gt;0,"En proceso","Pendiente"))</f>
        <v>Pendiente</v>
      </c>
    </row>
    <row r="60">
      <c r="A60" s="9" t="inlineStr">
        <is>
          <t>Revisar el plan y ajustar las metas del siguiente año</t>
        </is>
      </c>
      <c r="B60" s="13" t="inlineStr">
        <is>
          <t>Planeación</t>
        </is>
      </c>
      <c r="C60" s="13" t="n">
        <v>12</v>
      </c>
      <c r="D60" s="36" t="n">
        <v>0</v>
      </c>
      <c r="E60" s="13" t="str">
        <f>IF(D60&gt;=1,"Completado",IF(D60&gt;0,"En proceso","Pendiente"))</f>
        <v>Pendiente</v>
      </c>
    </row>
    <row r="61">
      <c r="A61" s="24" t="inlineStr">
        <is>
          <t>Avance total del plan (promedio de los hitos)</t>
        </is>
      </c>
      <c r="B61" s="9" t="n"/>
      <c r="C61" s="9" t="n"/>
      <c r="D61" s="14">
        <f>IFERROR(AVERAGE(D55:D60),0)</f>
        <v>0.3</v>
      </c>
      <c r="E61" s="9" t="n"/>
    </row>
    <row r="62">
      <c r="A62" s="9" t="inlineStr">
        <is>
          <t>Cursos completados (fórmula)</t>
        </is>
      </c>
      <c r="B62" s="13" t="str">
        <f>COUNTIFS(B55:B60,"Curso",D55:D60,"&gt;=1")&amp;" de "&amp;COUNTIF(B55:B60,"Curso")</f>
        <v>0 de 1</v>
      </c>
    </row>
    <row r="63">
      <c r="A63" s="9" t="inlineStr">
        <is>
          <t>Currículum actualizado (fórmula)</t>
        </is>
      </c>
      <c r="B63" s="13" t="str">
        <f>IF(COUNTIFS(B55:B60,"Currículum",D55:D60,"&gt;=1")&gt;0,"Sí","En proceso")</f>
        <v>En proceso</v>
      </c>
    </row>
    <row r="64">
      <c r="A64" s="9" t="inlineStr">
        <is>
          <t>Eventos asistidos (fórmula)</t>
        </is>
      </c>
      <c r="B64" s="13" t="str">
        <f>COUNTIFS(B55:B60,"Evento",D55:D60,"&gt;=1")&amp;" de "&amp;COUNTIF(B55:B60,"Evento")</f>
        <v>0 de 2</v>
      </c>
    </row>
    <row r="66">
      <c r="A66" s="2" t="inlineStr">
        <is>
          <t>6. Cálculos para el tablero y los gráficos (no se editan)</t>
        </is>
      </c>
    </row>
    <row r="67" ht="40" customHeight="1">
      <c r="A67" s="7" t="inlineStr">
        <is>
          <t>Indicador</t>
        </is>
      </c>
      <c r="B67" s="7" t="inlineStr">
        <is>
          <t>Objetivo</t>
        </is>
      </c>
      <c r="C67" s="7" t="inlineStr">
        <is>
          <t>Valor actual</t>
        </is>
      </c>
      <c r="D67" s="7" t="inlineStr">
        <is>
          <t>Meta (verde desde)</t>
        </is>
      </c>
      <c r="E67" s="7" t="inlineStr">
        <is>
          <t>Amarillo desde</t>
        </is>
      </c>
      <c r="F67" s="7" t="inlineStr">
        <is>
          <t>Código (3 verde, 2 amarillo, 1 rojo)</t>
        </is>
      </c>
      <c r="G67" s="7" t="inlineStr">
        <is>
          <t>Estado</t>
        </is>
      </c>
      <c r="H67" s="7" t="inlineStr">
        <is>
          <t>Progreso hacia la meta</t>
        </is>
      </c>
    </row>
    <row r="68">
      <c r="A68" s="9" t="inlineStr">
        <is>
          <t>Cumplimiento del horario</t>
        </is>
      </c>
      <c r="B68" s="13" t="inlineStr">
        <is>
          <t>Obj. 1</t>
        </is>
      </c>
      <c r="C68" s="36">
        <f>G33</f>
        <v>0.8125</v>
      </c>
      <c r="D68" s="36">
        <f>B12</f>
        <v>0.8</v>
      </c>
      <c r="E68" s="36">
        <f>C12</f>
        <v>0.6</v>
      </c>
      <c r="F68" s="13">
        <f>IF(C68&gt;=D68,3,IF(C68&gt;=E68,2,1))</f>
        <v>3</v>
      </c>
      <c r="G68" s="13" t="str">
        <f>CHOOSE(F68,"Bajo rendimiento","En riesgo","En meta")</f>
        <v>En meta</v>
      </c>
      <c r="H68" s="36">
        <f>IF(D68=0,0,MIN(1,MAX(0,C68/D68)))</f>
        <v>1</v>
      </c>
    </row>
    <row r="69">
      <c r="A69" s="9" t="inlineStr">
        <is>
          <t>Días de estudio por semana</t>
        </is>
      </c>
      <c r="B69" s="13" t="inlineStr">
        <is>
          <t>Obj. 1</t>
        </is>
      </c>
      <c r="C69" s="22">
        <f>E33</f>
        <v>4.5</v>
      </c>
      <c r="D69" s="22">
        <f>B13</f>
        <v>5</v>
      </c>
      <c r="E69" s="22">
        <f>C13</f>
        <v>4</v>
      </c>
      <c r="F69" s="13">
        <f>IF(C69&gt;=D69,3,IF(C69&gt;=E69,2,1))</f>
        <v>2</v>
      </c>
      <c r="G69" s="13" t="str">
        <f>CHOOSE(F69,"Bajo rendimiento","En riesgo","En meta")</f>
        <v>En riesgo</v>
      </c>
      <c r="H69" s="36">
        <f>IF(D69=0,0,MIN(1,MAX(0,C69/D69)))</f>
        <v>0.9</v>
      </c>
    </row>
    <row r="70">
      <c r="A70" s="9" t="inlineStr">
        <is>
          <t>Tareas entregadas a tiempo</t>
        </is>
      </c>
      <c r="B70" s="13" t="inlineStr">
        <is>
          <t>Obj. 2</t>
        </is>
      </c>
      <c r="C70" s="36">
        <f>F51</f>
        <v>0.85</v>
      </c>
      <c r="D70" s="36">
        <f>B14</f>
        <v>0.9</v>
      </c>
      <c r="E70" s="36">
        <f>C14</f>
        <v>0.75</v>
      </c>
      <c r="F70" s="13">
        <f>IF(C70&gt;=D70,3,IF(C70&gt;=E70,2,1))</f>
        <v>2</v>
      </c>
      <c r="G70" s="13" t="str">
        <f>CHOOSE(F70,"Bajo rendimiento","En riesgo","En meta")</f>
        <v>En riesgo</v>
      </c>
      <c r="H70" s="36">
        <f>IF(D70=0,0,MIN(1,MAX(0,C70/D70)))</f>
        <v>0.944444444444444</v>
      </c>
    </row>
    <row r="71">
      <c r="A71" s="9" t="inlineStr">
        <is>
          <t>Promedio general</t>
        </is>
      </c>
      <c r="B71" s="13" t="inlineStr">
        <is>
          <t>Obj. 2</t>
        </is>
      </c>
      <c r="C71" s="22">
        <f>E42</f>
        <v>8.43</v>
      </c>
      <c r="D71" s="22">
        <f>B15</f>
        <v>8.5</v>
      </c>
      <c r="E71" s="22">
        <f>C15</f>
        <v>7</v>
      </c>
      <c r="F71" s="13">
        <f>IF(C71&gt;=D71,3,IF(C71&gt;=E71,2,1))</f>
        <v>2</v>
      </c>
      <c r="G71" s="13" t="str">
        <f>CHOOSE(F71,"Bajo rendimiento","En riesgo","En meta")</f>
        <v>En riesgo</v>
      </c>
      <c r="H71" s="36">
        <f>IF(D71=0,0,MIN(1,MAX(0,C71/D71)))</f>
        <v>0.991764705882353</v>
      </c>
    </row>
    <row r="72">
      <c r="A72" s="9" t="inlineStr">
        <is>
          <t>Avance del plan profesional</t>
        </is>
      </c>
      <c r="B72" s="13" t="inlineStr">
        <is>
          <t>Obj. 3</t>
        </is>
      </c>
      <c r="C72" s="36">
        <f>D61</f>
        <v>0.3</v>
      </c>
      <c r="D72" s="36">
        <f>B9</f>
        <v>0.15</v>
      </c>
      <c r="E72" s="36">
        <f>C16</f>
        <v>0.7</v>
      </c>
      <c r="F72" s="13">
        <f>IF(D72=0,3,IF(C72/D72&gt;=$B$16,3,IF(C72/D72&gt;=E72,2,1)))</f>
        <v>3</v>
      </c>
      <c r="G72" s="13" t="str">
        <f>CHOOSE(F72,"Bajo rendimiento","En riesgo","En meta")</f>
        <v>En meta</v>
      </c>
      <c r="H72" s="36">
        <f>MIN(1,MAX(0,C72))</f>
        <v>0.3</v>
      </c>
    </row>
    <row r="73">
      <c r="A73" s="3" t="inlineStr">
        <is>
          <t>En el objetivo 3 la meta a la fecha es el avance esperado según los meses transcurridos; amarillo desde el 70 % de lo esperado.</t>
        </is>
      </c>
    </row>
    <row r="75">
      <c r="A75" s="7" t="inlineStr">
        <is>
          <t>Semana (gráfico)</t>
        </is>
      </c>
      <c r="B75" s="7" t="inlineStr">
        <is>
          <t>En meta</t>
        </is>
      </c>
      <c r="C75" s="7" t="inlineStr">
        <is>
          <t>En riesgo</t>
        </is>
      </c>
      <c r="D75" s="7" t="inlineStr">
        <is>
          <t>Bajo rendimiento</t>
        </is>
      </c>
      <c r="E75" s="7" t="inlineStr">
        <is>
          <t>Meta</t>
        </is>
      </c>
    </row>
    <row r="76">
      <c r="A76" s="9" t="inlineStr">
        <is>
          <t>Sem 1</t>
        </is>
      </c>
      <c r="B76" s="36">
        <f>IF(G21="",0,IF(G21&gt;=$B$12,G21,0))</f>
        <v>0</v>
      </c>
      <c r="C76" s="36">
        <f>IF(G21="",0,IF(AND(G21&lt;$B$12,G21&gt;=$C$12),G21,0))</f>
        <v>0</v>
      </c>
      <c r="D76" s="36">
        <f>IF(G21="",0,IF(G21&lt;$C$12,G21,0))</f>
        <v>0.5</v>
      </c>
      <c r="E76" s="36">
        <f>$B$12</f>
        <v>0.8</v>
      </c>
    </row>
    <row r="77">
      <c r="A77" s="9" t="inlineStr">
        <is>
          <t>Sem 2</t>
        </is>
      </c>
      <c r="B77" s="36">
        <f>IF(G22="",0,IF(G22&gt;=$B$12,G22,0))</f>
        <v>0</v>
      </c>
      <c r="C77" s="36">
        <f>IF(G22="",0,IF(AND(G22&lt;$B$12,G22&gt;=$C$12),G22,0))</f>
        <v>0.7</v>
      </c>
      <c r="D77" s="36">
        <f>IF(G22="",0,IF(G22&lt;$C$12,G22,0))</f>
        <v>0</v>
      </c>
      <c r="E77" s="36">
        <f>$B$12</f>
        <v>0.8</v>
      </c>
    </row>
    <row r="78">
      <c r="A78" s="9" t="inlineStr">
        <is>
          <t>Sem 3</t>
        </is>
      </c>
      <c r="B78" s="36">
        <f>IF(G23="",0,IF(G23&gt;=$B$12,G23,0))</f>
        <v>0.8</v>
      </c>
      <c r="C78" s="36">
        <f>IF(G23="",0,IF(AND(G23&lt;$B$12,G23&gt;=$C$12),G23,0))</f>
        <v>0</v>
      </c>
      <c r="D78" s="36">
        <f>IF(G23="",0,IF(G23&lt;$C$12,G23,0))</f>
        <v>0</v>
      </c>
      <c r="E78" s="36">
        <f>$B$12</f>
        <v>0.8</v>
      </c>
    </row>
    <row r="79">
      <c r="A79" s="9" t="inlineStr">
        <is>
          <t>Sem 4</t>
        </is>
      </c>
      <c r="B79" s="36">
        <f>IF(G24="",0,IF(G24&gt;=$B$12,G24,0))</f>
        <v>0.9</v>
      </c>
      <c r="C79" s="36">
        <f>IF(G24="",0,IF(AND(G24&lt;$B$12,G24&gt;=$C$12),G24,0))</f>
        <v>0</v>
      </c>
      <c r="D79" s="36">
        <f>IF(G24="",0,IF(G24&lt;$C$12,G24,0))</f>
        <v>0</v>
      </c>
      <c r="E79" s="36">
        <f>$B$12</f>
        <v>0.8</v>
      </c>
    </row>
    <row r="80">
      <c r="A80" s="9" t="inlineStr">
        <is>
          <t>Sem 5</t>
        </is>
      </c>
      <c r="B80" s="36">
        <f>IF(G25="",0,IF(G25&gt;=$B$12,G25,0))</f>
        <v>0</v>
      </c>
      <c r="C80" s="36">
        <f>IF(G25="",0,IF(AND(G25&lt;$B$12,G25&gt;=$C$12),G25,0))</f>
        <v>0.7</v>
      </c>
      <c r="D80" s="36">
        <f>IF(G25="",0,IF(G25&lt;$C$12,G25,0))</f>
        <v>0</v>
      </c>
      <c r="E80" s="36">
        <f>$B$12</f>
        <v>0.8</v>
      </c>
    </row>
    <row r="81">
      <c r="A81" s="9" t="inlineStr">
        <is>
          <t>Sem 6</t>
        </is>
      </c>
      <c r="B81" s="36">
        <f>IF(G26="",0,IF(G26&gt;=$B$12,G26,0))</f>
        <v>0.9</v>
      </c>
      <c r="C81" s="36">
        <f>IF(G26="",0,IF(AND(G26&lt;$B$12,G26&gt;=$C$12),G26,0))</f>
        <v>0</v>
      </c>
      <c r="D81" s="36">
        <f>IF(G26="",0,IF(G26&lt;$C$12,G26,0))</f>
        <v>0</v>
      </c>
      <c r="E81" s="36">
        <f>$B$12</f>
        <v>0.8</v>
      </c>
    </row>
    <row r="82">
      <c r="A82" s="9" t="inlineStr">
        <is>
          <t>Sem 7</t>
        </is>
      </c>
      <c r="B82" s="36">
        <f>IF(G27="",0,IF(G27&gt;=$B$12,G27,0))</f>
        <v>1</v>
      </c>
      <c r="C82" s="36">
        <f>IF(G27="",0,IF(AND(G27&lt;$B$12,G27&gt;=$C$12),G27,0))</f>
        <v>0</v>
      </c>
      <c r="D82" s="36">
        <f>IF(G27="",0,IF(G27&lt;$C$12,G27,0))</f>
        <v>0</v>
      </c>
      <c r="E82" s="36">
        <f>$B$12</f>
        <v>0.8</v>
      </c>
    </row>
    <row r="83">
      <c r="A83" s="9" t="inlineStr">
        <is>
          <t>Sem 8</t>
        </is>
      </c>
      <c r="B83" s="36">
        <f>IF(G28="",0,IF(G28&gt;=$B$12,G28,0))</f>
        <v>1</v>
      </c>
      <c r="C83" s="36">
        <f>IF(G28="",0,IF(AND(G28&lt;$B$12,G28&gt;=$C$12),G28,0))</f>
        <v>0</v>
      </c>
      <c r="D83" s="36">
        <f>IF(G28="",0,IF(G28&lt;$C$12,G28,0))</f>
        <v>0</v>
      </c>
      <c r="E83" s="36">
        <f>$B$12</f>
        <v>0.8</v>
      </c>
    </row>
    <row r="84">
      <c r="A84" s="9" t="inlineStr">
        <is>
          <t>Sem 9</t>
        </is>
      </c>
      <c r="B84" s="36">
        <f>IF(G29="",0,IF(G29&gt;=$B$12,G29,0))</f>
        <v>0</v>
      </c>
      <c r="C84" s="36">
        <f>IF(G29="",0,IF(AND(G29&lt;$B$12,G29&gt;=$C$12),G29,0))</f>
        <v>0</v>
      </c>
      <c r="D84" s="36">
        <f>IF(G29="",0,IF(G29&lt;$C$12,G29,0))</f>
        <v>0</v>
      </c>
      <c r="E84" s="36">
        <f>$B$12</f>
        <v>0.8</v>
      </c>
    </row>
    <row r="85">
      <c r="A85" s="9" t="inlineStr">
        <is>
          <t>Sem 10</t>
        </is>
      </c>
      <c r="B85" s="36">
        <f>IF(G30="",0,IF(G30&gt;=$B$12,G30,0))</f>
        <v>0</v>
      </c>
      <c r="C85" s="36">
        <f>IF(G30="",0,IF(AND(G30&lt;$B$12,G30&gt;=$C$12),G30,0))</f>
        <v>0</v>
      </c>
      <c r="D85" s="36">
        <f>IF(G30="",0,IF(G30&lt;$C$12,G30,0))</f>
        <v>0</v>
      </c>
      <c r="E85" s="36">
        <f>$B$12</f>
        <v>0.8</v>
      </c>
    </row>
    <row r="86">
      <c r="A86" s="9" t="inlineStr">
        <is>
          <t>Sem 11</t>
        </is>
      </c>
      <c r="B86" s="36">
        <f>IF(G31="",0,IF(G31&gt;=$B$12,G31,0))</f>
        <v>0</v>
      </c>
      <c r="C86" s="36">
        <f>IF(G31="",0,IF(AND(G31&lt;$B$12,G31&gt;=$C$12),G31,0))</f>
        <v>0</v>
      </c>
      <c r="D86" s="36">
        <f>IF(G31="",0,IF(G31&lt;$C$12,G31,0))</f>
        <v>0</v>
      </c>
      <c r="E86" s="36">
        <f>$B$12</f>
        <v>0.8</v>
      </c>
    </row>
    <row r="87">
      <c r="A87" s="9" t="inlineStr">
        <is>
          <t>Sem 12</t>
        </is>
      </c>
      <c r="B87" s="36">
        <f>IF(G32="",0,IF(G32&gt;=$B$12,G32,0))</f>
        <v>0</v>
      </c>
      <c r="C87" s="36">
        <f>IF(G32="",0,IF(AND(G32&lt;$B$12,G32&gt;=$C$12),G32,0))</f>
        <v>0</v>
      </c>
      <c r="D87" s="36">
        <f>IF(G32="",0,IF(G32&lt;$C$12,G32,0))</f>
        <v>0</v>
      </c>
      <c r="E87" s="36">
        <f>$B$12</f>
        <v>0.8</v>
      </c>
    </row>
    <row r="89">
      <c r="A89" s="7" t="inlineStr">
        <is>
          <t>Asignatura (semáforo)</t>
        </is>
      </c>
      <c r="B89" s="7" t="inlineStr">
        <is>
          <t>Código</t>
        </is>
      </c>
      <c r="C89" s="7" t="inlineStr">
        <is>
          <t>Estado</t>
        </is>
      </c>
      <c r="D89" s="7" t="inlineStr">
        <is>
          <t>Meta de promedio</t>
        </is>
      </c>
    </row>
    <row r="90">
      <c r="A90" s="9" t="str">
        <f>A37</f>
        <v>Matemáticas</v>
      </c>
      <c r="B90" s="13">
        <f>IF(E37="",0,IF(E37&gt;=$B$15,3,IF(E37&gt;=$C$15,2,1)))</f>
        <v>1</v>
      </c>
      <c r="C90" s="13" t="str">
        <f>CHOOSE(B90+1,"Pendiente","Bajo rendimiento","En riesgo","En meta")</f>
        <v>Bajo rendimiento</v>
      </c>
      <c r="D90" s="22">
        <f>$B$15</f>
        <v>8.5</v>
      </c>
    </row>
    <row r="91">
      <c r="A91" s="9" t="str">
        <f>A38</f>
        <v>Comunicación oral y escrita</v>
      </c>
      <c r="B91" s="13">
        <f>IF(E38="",0,IF(E38&gt;=$B$15,3,IF(E38&gt;=$C$15,2,1)))</f>
        <v>3</v>
      </c>
      <c r="C91" s="13" t="str">
        <f>CHOOSE(B91+1,"Pendiente","Bajo rendimiento","En riesgo","En meta")</f>
        <v>En meta</v>
      </c>
      <c r="D91" s="22">
        <f>$B$15</f>
        <v>8.5</v>
      </c>
    </row>
    <row r="92">
      <c r="A92" s="9" t="str">
        <f>A39</f>
        <v>Inglés</v>
      </c>
      <c r="B92" s="13">
        <f>IF(E39="",0,IF(E39&gt;=$B$15,3,IF(E39&gt;=$C$15,2,1)))</f>
        <v>2</v>
      </c>
      <c r="C92" s="13" t="str">
        <f>CHOOSE(B92+1,"Pendiente","Bajo rendimiento","En riesgo","En meta")</f>
        <v>En riesgo</v>
      </c>
      <c r="D92" s="22">
        <f>$B$15</f>
        <v>8.5</v>
      </c>
    </row>
    <row r="93">
      <c r="A93" s="9" t="str">
        <f>A40</f>
        <v>Tecnologías de información</v>
      </c>
      <c r="B93" s="13">
        <f>IF(E40="",0,IF(E40&gt;=$B$15,3,IF(E40&gt;=$C$15,2,1)))</f>
        <v>3</v>
      </c>
      <c r="C93" s="13" t="str">
        <f>CHOOSE(B93+1,"Pendiente","Bajo rendimiento","En riesgo","En meta")</f>
        <v>En meta</v>
      </c>
      <c r="D93" s="22">
        <f>$B$15</f>
        <v>8.5</v>
      </c>
    </row>
    <row r="94">
      <c r="A94" s="9" t="str">
        <f>A41</f>
        <v>Desarrollo humano</v>
      </c>
      <c r="B94" s="13">
        <f>IF(E41="",0,IF(E41&gt;=$B$15,3,IF(E41&gt;=$C$15,2,1)))</f>
        <v>3</v>
      </c>
      <c r="C94" s="13" t="str">
        <f>CHOOSE(B94+1,"Pendiente","Bajo rendimiento","En riesgo","En meta")</f>
        <v>En meta</v>
      </c>
      <c r="D94" s="22">
        <f>$B$15</f>
        <v>8.5</v>
      </c>
    </row>
    <row r="96">
      <c r="A96" s="7" t="inlineStr">
        <is>
          <t>Estado de las tareas</t>
        </is>
      </c>
      <c r="B96" s="7" t="inlineStr">
        <is>
          <t>Cantidad</t>
        </is>
      </c>
    </row>
    <row r="97">
      <c r="A97" s="9" t="inlineStr">
        <is>
          <t>A tiempo</t>
        </is>
      </c>
      <c r="B97" s="13">
        <f>C51</f>
        <v>34</v>
      </c>
    </row>
    <row r="98">
      <c r="A98" s="9" t="inlineStr">
        <is>
          <t>Con retraso</t>
        </is>
      </c>
      <c r="B98" s="13">
        <f>D51</f>
        <v>4</v>
      </c>
    </row>
    <row r="99">
      <c r="A99" s="9" t="inlineStr">
        <is>
          <t>No entregadas</t>
        </is>
      </c>
      <c r="B99" s="13">
        <f>E51</f>
        <v>2</v>
      </c>
    </row>
    <row r="101">
      <c r="A101" s="7" t="inlineStr">
        <is>
          <t>Estado de los hitos</t>
        </is>
      </c>
      <c r="B101" s="7" t="inlineStr">
        <is>
          <t>Cantidad</t>
        </is>
      </c>
    </row>
    <row r="102">
      <c r="A102" s="9" t="inlineStr">
        <is>
          <t>Completados</t>
        </is>
      </c>
      <c r="B102" s="13">
        <f>COUNTIF(E55:E60,"Completado")</f>
        <v>1</v>
      </c>
    </row>
    <row r="103">
      <c r="A103" s="9" t="inlineStr">
        <is>
          <t>En proceso</t>
        </is>
      </c>
      <c r="B103" s="13">
        <f>COUNTIF(E55:E60,"En proceso")</f>
        <v>2</v>
      </c>
    </row>
    <row r="104">
      <c r="A104" s="9" t="inlineStr">
        <is>
          <t>Pendientes</t>
        </is>
      </c>
      <c r="B104" s="13">
        <f>COUNTIF(E55:E60,"Pendiente")</f>
        <v>3</v>
      </c>
    </row>
  </sheetData>
  <conditionalFormatting sqref="H21:H33">
    <cfRule type="expression" priority="1" dxfId="0">
      <formula>H21="En meta"</formula>
    </cfRule>
    <cfRule type="expression" priority="2" dxfId="1">
      <formula>H21="En riesgo"</formula>
    </cfRule>
    <cfRule type="expression" priority="3" dxfId="2">
      <formula>H21="Bajo rendimiento"</formula>
    </cfRule>
  </conditionalFormatting>
  <conditionalFormatting sqref="G37:G42">
    <cfRule type="expression" priority="4" dxfId="0">
      <formula>G37="En meta"</formula>
    </cfRule>
    <cfRule type="expression" priority="5" dxfId="1">
      <formula>G37="En riesgo"</formula>
    </cfRule>
    <cfRule type="expression" priority="6" dxfId="2">
      <formula>G37="Bajo rendimiento"</formula>
    </cfRule>
  </conditionalFormatting>
  <conditionalFormatting sqref="G46:G51">
    <cfRule type="expression" priority="7" dxfId="0">
      <formula>G46="En meta"</formula>
    </cfRule>
    <cfRule type="expression" priority="8" dxfId="1">
      <formula>G46="En riesgo"</formula>
    </cfRule>
    <cfRule type="expression" priority="9" dxfId="2">
      <formula>G46="Bajo rendimiento"</formula>
    </cfRule>
  </conditionalFormatting>
  <dataValidations count="8">
    <dataValidation sqref="D21:D32" showDropDown="0" showInputMessage="0" showErrorMessage="0" allowBlank="1" type="whole" operator="between">
      <formula1>0</formula1>
      <formula2>60</formula2>
    </dataValidation>
    <dataValidation sqref="C21:C32" showDropDown="0" showInputMessage="0" showErrorMessage="0" allowBlank="1" type="whole" operator="between">
      <formula1>0</formula1>
      <formula2>60</formula2>
    </dataValidation>
    <dataValidation sqref="E21:E32" showDropDown="0" showInputMessage="0" showErrorMessage="0" allowBlank="1" type="whole" operator="between">
      <formula1>0</formula1>
      <formula2>7</formula2>
    </dataValidation>
    <dataValidation sqref="F21:F32" showDropDown="0" showInputMessage="0" showErrorMessage="0" allowBlank="1" type="list">
      <formula1>"Sí,No"</formula1>
    </dataValidation>
    <dataValidation sqref="B37:D41" showDropDown="0" showInputMessage="0" showErrorMessage="0" allowBlank="1" type="decimal" operator="between">
      <formula1>0</formula1>
      <formula2>10</formula2>
    </dataValidation>
    <dataValidation sqref="B55:B60" showDropDown="0" showInputMessage="0" showErrorMessage="0" allowBlank="1" type="list">
      <formula1>"Planeación,Curso,Currículum,Evento"</formula1>
    </dataValidation>
    <dataValidation sqref="C55:C60" showDropDown="0" showInputMessage="0" showErrorMessage="0" allowBlank="1" type="whole" operator="between">
      <formula1>1</formula1>
      <formula2>12</formula2>
    </dataValidation>
    <dataValidation sqref="D55:D60" showDropDown="0" showInputMessage="0" showErrorMessage="0" allowBlank="1" type="decimal" operator="between">
      <formula1>0</formula1>
      <formula2>1</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G44"/>
  <sheetViews>
    <sheetView workbookViewId="0">
      <pane ySplit="4" topLeftCell="A5" activePane="bottomLeft" state="frozen"/>
      <selection pane="bottomLeft" activeCell="A1" sqref="A1"/>
    </sheetView>
  </sheetViews>
  <sheetFormatPr baseColWidth="8" defaultRowHeight="15"/>
  <cols>
    <col width="7" customWidth="1" min="1" max="1"/>
    <col width="17" customWidth="1" min="2" max="2"/>
    <col width="14" customWidth="1" min="3" max="3"/>
    <col width="30" customWidth="1" min="4" max="4"/>
    <col width="22" customWidth="1" min="5" max="5"/>
    <col width="18" customWidth="1" min="6" max="6"/>
    <col width="13" customWidth="1" min="7" max="7"/>
  </cols>
  <sheetData>
    <row r="1">
      <c r="A1" s="1" t="inlineStr">
        <is>
          <t>REGISTRO DE TAREAS (fuente de la tabla dinámica)</t>
        </is>
      </c>
    </row>
    <row r="2">
      <c r="A2" s="3" t="inlineStr">
        <is>
          <t>Una fila por tarea. Las tareas nuevas se escriben en la primera fila vacía debajo de la tabla (la tabla crece sola). La columna Mes se calcula sola. Los datos son de ejemplo: cámbialos por tus tareas reales.</t>
        </is>
      </c>
    </row>
    <row r="4">
      <c r="A4" s="37" t="inlineStr">
        <is>
          <t>N.º</t>
        </is>
      </c>
      <c r="B4" s="37" t="inlineStr">
        <is>
          <t>Fecha de entrega</t>
        </is>
      </c>
      <c r="C4" s="37" t="inlineStr">
        <is>
          <t>Mes</t>
        </is>
      </c>
      <c r="D4" s="37" t="inlineStr">
        <is>
          <t>Asignatura</t>
        </is>
      </c>
      <c r="E4" s="37" t="inlineStr">
        <is>
          <t>Tipo de actividad</t>
        </is>
      </c>
      <c r="F4" s="37" t="inlineStr">
        <is>
          <t>Estado de entrega</t>
        </is>
      </c>
      <c r="G4" s="37" t="inlineStr">
        <is>
          <t>Calificación</t>
        </is>
      </c>
    </row>
    <row r="5">
      <c r="A5" s="38" t="n">
        <v>1</v>
      </c>
      <c r="B5" s="39" t="n">
        <v>46267</v>
      </c>
      <c r="C5" s="38" t="str">
        <f>IF(B5="","",CHOOSE(MONTH(B5),"Enero","Febrero","Marzo","Abril","Mayo","Junio","Julio","Agosto","Septiembre","Octubre","Noviembre","Diciembre"))</f>
        <v>Septiembre</v>
      </c>
      <c r="D5" s="11" t="inlineStr">
        <is>
          <t>Matemáticas</t>
        </is>
      </c>
      <c r="E5" s="11" t="inlineStr">
        <is>
          <t>Tarea</t>
        </is>
      </c>
      <c r="F5" s="38" t="inlineStr">
        <is>
          <t>A tiempo</t>
        </is>
      </c>
      <c r="G5" s="40" t="n">
        <v>7.3</v>
      </c>
    </row>
    <row r="6">
      <c r="A6" s="38" t="n">
        <v>2</v>
      </c>
      <c r="B6" s="39" t="n">
        <v>46268</v>
      </c>
      <c r="C6" s="38" t="str">
        <f>IF(B6="","",CHOOSE(MONTH(B6),"Enero","Febrero","Marzo","Abril","Mayo","Junio","Julio","Agosto","Septiembre","Octubre","Noviembre","Diciembre"))</f>
        <v>Septiembre</v>
      </c>
      <c r="D6" s="11" t="inlineStr">
        <is>
          <t>Comunicación oral y escrita</t>
        </is>
      </c>
      <c r="E6" s="11" t="inlineStr">
        <is>
          <t>Tarea</t>
        </is>
      </c>
      <c r="F6" s="38" t="inlineStr">
        <is>
          <t>A tiempo</t>
        </is>
      </c>
      <c r="G6" s="40" t="n">
        <v>8.9</v>
      </c>
    </row>
    <row r="7">
      <c r="A7" s="38" t="n">
        <v>3</v>
      </c>
      <c r="B7" s="39" t="n">
        <v>46269</v>
      </c>
      <c r="C7" s="38" t="str">
        <f>IF(B7="","",CHOOSE(MONTH(B7),"Enero","Febrero","Marzo","Abril","Mayo","Junio","Julio","Agosto","Septiembre","Octubre","Noviembre","Diciembre"))</f>
        <v>Septiembre</v>
      </c>
      <c r="D7" s="11" t="inlineStr">
        <is>
          <t>Inglés</t>
        </is>
      </c>
      <c r="E7" s="11" t="inlineStr">
        <is>
          <t>Tarea</t>
        </is>
      </c>
      <c r="F7" s="38" t="inlineStr">
        <is>
          <t>A tiempo</t>
        </is>
      </c>
      <c r="G7" s="40" t="n">
        <v>7.9</v>
      </c>
    </row>
    <row r="8">
      <c r="A8" s="38" t="n">
        <v>4</v>
      </c>
      <c r="B8" s="39" t="n">
        <v>46270</v>
      </c>
      <c r="C8" s="38" t="str">
        <f>IF(B8="","",CHOOSE(MONTH(B8),"Enero","Febrero","Marzo","Abril","Mayo","Junio","Julio","Agosto","Septiembre","Octubre","Noviembre","Diciembre"))</f>
        <v>Septiembre</v>
      </c>
      <c r="D8" s="11" t="inlineStr">
        <is>
          <t>Tecnologías de información</t>
        </is>
      </c>
      <c r="E8" s="11" t="inlineStr">
        <is>
          <t>Tarea</t>
        </is>
      </c>
      <c r="F8" s="38" t="inlineStr">
        <is>
          <t>A tiempo</t>
        </is>
      </c>
      <c r="G8" s="40" t="n">
        <v>8.699999999999999</v>
      </c>
    </row>
    <row r="9">
      <c r="A9" s="38" t="n">
        <v>5</v>
      </c>
      <c r="B9" s="39" t="n">
        <v>46271</v>
      </c>
      <c r="C9" s="38" t="str">
        <f>IF(B9="","",CHOOSE(MONTH(B9),"Enero","Febrero","Marzo","Abril","Mayo","Junio","Julio","Agosto","Septiembre","Octubre","Noviembre","Diciembre"))</f>
        <v>Septiembre</v>
      </c>
      <c r="D9" s="11" t="inlineStr">
        <is>
          <t>Desarrollo humano</t>
        </is>
      </c>
      <c r="E9" s="11" t="inlineStr">
        <is>
          <t>Tarea</t>
        </is>
      </c>
      <c r="F9" s="38" t="inlineStr">
        <is>
          <t>A tiempo</t>
        </is>
      </c>
      <c r="G9" s="40" t="n">
        <v>9.300000000000001</v>
      </c>
    </row>
    <row r="10">
      <c r="A10" s="38" t="n">
        <v>6</v>
      </c>
      <c r="B10" s="39" t="n">
        <v>46271</v>
      </c>
      <c r="C10" s="38" t="str">
        <f>IF(B10="","",CHOOSE(MONTH(B10),"Enero","Febrero","Marzo","Abril","Mayo","Junio","Julio","Agosto","Septiembre","Octubre","Noviembre","Diciembre"))</f>
        <v>Septiembre</v>
      </c>
      <c r="D10" s="11" t="inlineStr">
        <is>
          <t>Matemáticas</t>
        </is>
      </c>
      <c r="E10" s="11" t="inlineStr">
        <is>
          <t>Ejercicios de repaso</t>
        </is>
      </c>
      <c r="F10" s="38" t="inlineStr">
        <is>
          <t>Con retraso</t>
        </is>
      </c>
      <c r="G10" s="40" t="n">
        <v>6.6</v>
      </c>
    </row>
    <row r="11">
      <c r="A11" s="38" t="n">
        <v>7</v>
      </c>
      <c r="B11" s="39" t="n">
        <v>46274</v>
      </c>
      <c r="C11" s="38" t="str">
        <f>IF(B11="","",CHOOSE(MONTH(B11),"Enero","Febrero","Marzo","Abril","Mayo","Junio","Julio","Agosto","Septiembre","Octubre","Noviembre","Diciembre"))</f>
        <v>Septiembre</v>
      </c>
      <c r="D11" s="11" t="inlineStr">
        <is>
          <t>Comunicación oral y escrita</t>
        </is>
      </c>
      <c r="E11" s="11" t="inlineStr">
        <is>
          <t>Ejercicios de repaso</t>
        </is>
      </c>
      <c r="F11" s="38" t="inlineStr">
        <is>
          <t>A tiempo</t>
        </is>
      </c>
      <c r="G11" s="40" t="n">
        <v>9.199999999999999</v>
      </c>
    </row>
    <row r="12">
      <c r="A12" s="38" t="n">
        <v>8</v>
      </c>
      <c r="B12" s="39" t="n">
        <v>46274</v>
      </c>
      <c r="C12" s="38" t="str">
        <f>IF(B12="","",CHOOSE(MONTH(B12),"Enero","Febrero","Marzo","Abril","Mayo","Junio","Julio","Agosto","Septiembre","Octubre","Noviembre","Diciembre"))</f>
        <v>Septiembre</v>
      </c>
      <c r="D12" s="11" t="inlineStr">
        <is>
          <t>Inglés</t>
        </is>
      </c>
      <c r="E12" s="11" t="inlineStr">
        <is>
          <t>Ejercicios de repaso</t>
        </is>
      </c>
      <c r="F12" s="38" t="inlineStr">
        <is>
          <t>Con retraso</t>
        </is>
      </c>
      <c r="G12" s="40" t="n">
        <v>7.2</v>
      </c>
    </row>
    <row r="13">
      <c r="A13" s="38" t="n">
        <v>9</v>
      </c>
      <c r="B13" s="39" t="n">
        <v>46275</v>
      </c>
      <c r="C13" s="38" t="str">
        <f>IF(B13="","",CHOOSE(MONTH(B13),"Enero","Febrero","Marzo","Abril","Mayo","Junio","Julio","Agosto","Septiembre","Octubre","Noviembre","Diciembre"))</f>
        <v>Septiembre</v>
      </c>
      <c r="D13" s="11" t="inlineStr">
        <is>
          <t>Matemáticas</t>
        </is>
      </c>
      <c r="E13" s="11" t="inlineStr">
        <is>
          <t>Tarea</t>
        </is>
      </c>
      <c r="F13" s="38" t="inlineStr">
        <is>
          <t>No entregada</t>
        </is>
      </c>
      <c r="G13" s="40" t="n"/>
    </row>
    <row r="14">
      <c r="A14" s="38" t="n">
        <v>10</v>
      </c>
      <c r="B14" s="39" t="n">
        <v>46276</v>
      </c>
      <c r="C14" s="38" t="str">
        <f>IF(B14="","",CHOOSE(MONTH(B14),"Enero","Febrero","Marzo","Abril","Mayo","Junio","Julio","Agosto","Septiembre","Octubre","Noviembre","Diciembre"))</f>
        <v>Septiembre</v>
      </c>
      <c r="D14" s="11" t="inlineStr">
        <is>
          <t>Tecnologías de información</t>
        </is>
      </c>
      <c r="E14" s="11" t="inlineStr">
        <is>
          <t>Ejercicios de repaso</t>
        </is>
      </c>
      <c r="F14" s="38" t="inlineStr">
        <is>
          <t>Con retraso</t>
        </is>
      </c>
      <c r="G14" s="40" t="n">
        <v>8</v>
      </c>
    </row>
    <row r="15">
      <c r="A15" s="38" t="n">
        <v>11</v>
      </c>
      <c r="B15" s="39" t="n">
        <v>46279</v>
      </c>
      <c r="C15" s="38" t="str">
        <f>IF(B15="","",CHOOSE(MONTH(B15),"Enero","Febrero","Marzo","Abril","Mayo","Junio","Julio","Agosto","Septiembre","Octubre","Noviembre","Diciembre"))</f>
        <v>Septiembre</v>
      </c>
      <c r="D15" s="11" t="inlineStr">
        <is>
          <t>Desarrollo humano</t>
        </is>
      </c>
      <c r="E15" s="11" t="inlineStr">
        <is>
          <t>Ejercicios de repaso</t>
        </is>
      </c>
      <c r="F15" s="38" t="inlineStr">
        <is>
          <t>A tiempo</t>
        </is>
      </c>
      <c r="G15" s="40" t="n">
        <v>9.6</v>
      </c>
    </row>
    <row r="16">
      <c r="A16" s="38" t="n">
        <v>12</v>
      </c>
      <c r="B16" s="39" t="n">
        <v>46279</v>
      </c>
      <c r="C16" s="38" t="str">
        <f>IF(B16="","",CHOOSE(MONTH(B16),"Enero","Febrero","Marzo","Abril","Mayo","Junio","Julio","Agosto","Septiembre","Octubre","Noviembre","Diciembre"))</f>
        <v>Septiembre</v>
      </c>
      <c r="D16" s="11" t="inlineStr">
        <is>
          <t>Inglés</t>
        </is>
      </c>
      <c r="E16" s="11" t="inlineStr">
        <is>
          <t>Tarea</t>
        </is>
      </c>
      <c r="F16" s="38" t="inlineStr">
        <is>
          <t>No entregada</t>
        </is>
      </c>
      <c r="G16" s="40" t="n"/>
    </row>
    <row r="17">
      <c r="A17" s="38" t="n">
        <v>13</v>
      </c>
      <c r="B17" s="39" t="n">
        <v>46279</v>
      </c>
      <c r="C17" s="38" t="str">
        <f>IF(B17="","",CHOOSE(MONTH(B17),"Enero","Febrero","Marzo","Abril","Mayo","Junio","Julio","Agosto","Septiembre","Octubre","Noviembre","Diciembre"))</f>
        <v>Septiembre</v>
      </c>
      <c r="D17" s="11" t="inlineStr">
        <is>
          <t>Matemáticas</t>
        </is>
      </c>
      <c r="E17" s="11" t="inlineStr">
        <is>
          <t>Reporte de lectura</t>
        </is>
      </c>
      <c r="F17" s="38" t="inlineStr">
        <is>
          <t>Con retraso</t>
        </is>
      </c>
      <c r="G17" s="40" t="n">
        <v>6.3</v>
      </c>
    </row>
    <row r="18">
      <c r="A18" s="38" t="n">
        <v>14</v>
      </c>
      <c r="B18" s="39" t="n">
        <v>46280</v>
      </c>
      <c r="C18" s="38" t="str">
        <f>IF(B18="","",CHOOSE(MONTH(B18),"Enero","Febrero","Marzo","Abril","Mayo","Junio","Julio","Agosto","Septiembre","Octubre","Noviembre","Diciembre"))</f>
        <v>Septiembre</v>
      </c>
      <c r="D18" s="11" t="inlineStr">
        <is>
          <t>Comunicación oral y escrita</t>
        </is>
      </c>
      <c r="E18" s="11" t="inlineStr">
        <is>
          <t>Tarea</t>
        </is>
      </c>
      <c r="F18" s="38" t="inlineStr">
        <is>
          <t>A tiempo</t>
        </is>
      </c>
      <c r="G18" s="40" t="n">
        <v>9.5</v>
      </c>
    </row>
    <row r="19">
      <c r="A19" s="38" t="n">
        <v>15</v>
      </c>
      <c r="B19" s="39" t="n">
        <v>46282</v>
      </c>
      <c r="C19" s="38" t="str">
        <f>IF(B19="","",CHOOSE(MONTH(B19),"Enero","Febrero","Marzo","Abril","Mayo","Junio","Julio","Agosto","Septiembre","Octubre","Noviembre","Diciembre"))</f>
        <v>Septiembre</v>
      </c>
      <c r="D19" s="11" t="inlineStr">
        <is>
          <t>Tecnologías de información</t>
        </is>
      </c>
      <c r="E19" s="11" t="inlineStr">
        <is>
          <t>Tarea</t>
        </is>
      </c>
      <c r="F19" s="38" t="inlineStr">
        <is>
          <t>A tiempo</t>
        </is>
      </c>
      <c r="G19" s="40" t="n">
        <v>9.300000000000001</v>
      </c>
    </row>
    <row r="20">
      <c r="A20" s="38" t="n">
        <v>16</v>
      </c>
      <c r="B20" s="39" t="n">
        <v>46283</v>
      </c>
      <c r="C20" s="38" t="str">
        <f>IF(B20="","",CHOOSE(MONTH(B20),"Enero","Febrero","Marzo","Abril","Mayo","Junio","Julio","Agosto","Septiembre","Octubre","Noviembre","Diciembre"))</f>
        <v>Septiembre</v>
      </c>
      <c r="D20" s="11" t="inlineStr">
        <is>
          <t>Matemáticas</t>
        </is>
      </c>
      <c r="E20" s="11" t="inlineStr">
        <is>
          <t>Proyecto</t>
        </is>
      </c>
      <c r="F20" s="38" t="inlineStr">
        <is>
          <t>A tiempo</t>
        </is>
      </c>
      <c r="G20" s="40" t="n">
        <v>7.6</v>
      </c>
    </row>
    <row r="21">
      <c r="A21" s="38" t="n">
        <v>17</v>
      </c>
      <c r="B21" s="39" t="n">
        <v>46284</v>
      </c>
      <c r="C21" s="38" t="str">
        <f>IF(B21="","",CHOOSE(MONTH(B21),"Enero","Febrero","Marzo","Abril","Mayo","Junio","Julio","Agosto","Septiembre","Octubre","Noviembre","Diciembre"))</f>
        <v>Septiembre</v>
      </c>
      <c r="D21" s="11" t="inlineStr">
        <is>
          <t>Inglés</t>
        </is>
      </c>
      <c r="E21" s="11" t="inlineStr">
        <is>
          <t>Reporte de lectura</t>
        </is>
      </c>
      <c r="F21" s="38" t="inlineStr">
        <is>
          <t>A tiempo</t>
        </is>
      </c>
      <c r="G21" s="40" t="n">
        <v>7.9</v>
      </c>
    </row>
    <row r="22">
      <c r="A22" s="38" t="n">
        <v>18</v>
      </c>
      <c r="B22" s="39" t="n">
        <v>46286</v>
      </c>
      <c r="C22" s="38" t="str">
        <f>IF(B22="","",CHOOSE(MONTH(B22),"Enero","Febrero","Marzo","Abril","Mayo","Junio","Julio","Agosto","Septiembre","Octubre","Noviembre","Diciembre"))</f>
        <v>Septiembre</v>
      </c>
      <c r="D22" s="11" t="inlineStr">
        <is>
          <t>Comunicación oral y escrita</t>
        </is>
      </c>
      <c r="E22" s="11" t="inlineStr">
        <is>
          <t>Reporte de lectura</t>
        </is>
      </c>
      <c r="F22" s="38" t="inlineStr">
        <is>
          <t>A tiempo</t>
        </is>
      </c>
      <c r="G22" s="40" t="n">
        <v>8.9</v>
      </c>
    </row>
    <row r="23">
      <c r="A23" s="38" t="n">
        <v>19</v>
      </c>
      <c r="B23" s="39" t="n">
        <v>46287</v>
      </c>
      <c r="C23" s="38" t="str">
        <f>IF(B23="","",CHOOSE(MONTH(B23),"Enero","Febrero","Marzo","Abril","Mayo","Junio","Julio","Agosto","Septiembre","Octubre","Noviembre","Diciembre"))</f>
        <v>Septiembre</v>
      </c>
      <c r="D23" s="11" t="inlineStr">
        <is>
          <t>Desarrollo humano</t>
        </is>
      </c>
      <c r="E23" s="11" t="inlineStr">
        <is>
          <t>Tarea</t>
        </is>
      </c>
      <c r="F23" s="38" t="inlineStr">
        <is>
          <t>A tiempo</t>
        </is>
      </c>
      <c r="G23" s="40" t="n">
        <v>9.9</v>
      </c>
    </row>
    <row r="24">
      <c r="A24" s="38" t="n">
        <v>20</v>
      </c>
      <c r="B24" s="39" t="n">
        <v>46287</v>
      </c>
      <c r="C24" s="38" t="str">
        <f>IF(B24="","",CHOOSE(MONTH(B24),"Enero","Febrero","Marzo","Abril","Mayo","Junio","Julio","Agosto","Septiembre","Octubre","Noviembre","Diciembre"))</f>
        <v>Septiembre</v>
      </c>
      <c r="D24" s="11" t="inlineStr">
        <is>
          <t>Matemáticas</t>
        </is>
      </c>
      <c r="E24" s="11" t="inlineStr">
        <is>
          <t>Tarea</t>
        </is>
      </c>
      <c r="F24" s="38" t="inlineStr">
        <is>
          <t>A tiempo</t>
        </is>
      </c>
      <c r="G24" s="40" t="n">
        <v>7.9</v>
      </c>
    </row>
    <row r="25">
      <c r="A25" s="38" t="n">
        <v>21</v>
      </c>
      <c r="B25" s="39" t="n">
        <v>46288</v>
      </c>
      <c r="C25" s="38" t="str">
        <f>IF(B25="","",CHOOSE(MONTH(B25),"Enero","Febrero","Marzo","Abril","Mayo","Junio","Julio","Agosto","Septiembre","Octubre","Noviembre","Diciembre"))</f>
        <v>Septiembre</v>
      </c>
      <c r="D25" s="11" t="inlineStr">
        <is>
          <t>Tecnologías de información</t>
        </is>
      </c>
      <c r="E25" s="11" t="inlineStr">
        <is>
          <t>Reporte de lectura</t>
        </is>
      </c>
      <c r="F25" s="38" t="inlineStr">
        <is>
          <t>A tiempo</t>
        </is>
      </c>
      <c r="G25" s="40" t="n">
        <v>8.699999999999999</v>
      </c>
    </row>
    <row r="26">
      <c r="A26" s="38" t="n">
        <v>22</v>
      </c>
      <c r="B26" s="39" t="n">
        <v>46289</v>
      </c>
      <c r="C26" s="38" t="str">
        <f>IF(B26="","",CHOOSE(MONTH(B26),"Enero","Febrero","Marzo","Abril","Mayo","Junio","Julio","Agosto","Septiembre","Octubre","Noviembre","Diciembre"))</f>
        <v>Septiembre</v>
      </c>
      <c r="D26" s="11" t="inlineStr">
        <is>
          <t>Inglés</t>
        </is>
      </c>
      <c r="E26" s="11" t="inlineStr">
        <is>
          <t>Proyecto</t>
        </is>
      </c>
      <c r="F26" s="38" t="inlineStr">
        <is>
          <t>A tiempo</t>
        </is>
      </c>
      <c r="G26" s="40" t="n">
        <v>8.199999999999999</v>
      </c>
    </row>
    <row r="27">
      <c r="A27" s="38" t="n">
        <v>23</v>
      </c>
      <c r="B27" s="39" t="n">
        <v>46291</v>
      </c>
      <c r="C27" s="38" t="str">
        <f>IF(B27="","",CHOOSE(MONTH(B27),"Enero","Febrero","Marzo","Abril","Mayo","Junio","Julio","Agosto","Septiembre","Octubre","Noviembre","Diciembre"))</f>
        <v>Septiembre</v>
      </c>
      <c r="D27" s="11" t="inlineStr">
        <is>
          <t>Matemáticas</t>
        </is>
      </c>
      <c r="E27" s="11" t="inlineStr">
        <is>
          <t>Ejercicios de repaso</t>
        </is>
      </c>
      <c r="F27" s="38" t="inlineStr">
        <is>
          <t>A tiempo</t>
        </is>
      </c>
      <c r="G27" s="40" t="n">
        <v>7.3</v>
      </c>
    </row>
    <row r="28">
      <c r="A28" s="38" t="n">
        <v>24</v>
      </c>
      <c r="B28" s="39" t="n">
        <v>46292</v>
      </c>
      <c r="C28" s="38" t="str">
        <f>IF(B28="","",CHOOSE(MONTH(B28),"Enero","Febrero","Marzo","Abril","Mayo","Junio","Julio","Agosto","Septiembre","Octubre","Noviembre","Diciembre"))</f>
        <v>Septiembre</v>
      </c>
      <c r="D28" s="11" t="inlineStr">
        <is>
          <t>Comunicación oral y escrita</t>
        </is>
      </c>
      <c r="E28" s="11" t="inlineStr">
        <is>
          <t>Proyecto</t>
        </is>
      </c>
      <c r="F28" s="38" t="inlineStr">
        <is>
          <t>A tiempo</t>
        </is>
      </c>
      <c r="G28" s="40" t="n">
        <v>9.199999999999999</v>
      </c>
    </row>
    <row r="29">
      <c r="A29" s="38" t="n">
        <v>25</v>
      </c>
      <c r="B29" s="39" t="n">
        <v>46294</v>
      </c>
      <c r="C29" s="38" t="str">
        <f>IF(B29="","",CHOOSE(MONTH(B29),"Enero","Febrero","Marzo","Abril","Mayo","Junio","Julio","Agosto","Septiembre","Octubre","Noviembre","Diciembre"))</f>
        <v>Septiembre</v>
      </c>
      <c r="D29" s="11" t="inlineStr">
        <is>
          <t>Inglés</t>
        </is>
      </c>
      <c r="E29" s="11" t="inlineStr">
        <is>
          <t>Tarea</t>
        </is>
      </c>
      <c r="F29" s="38" t="inlineStr">
        <is>
          <t>A tiempo</t>
        </is>
      </c>
      <c r="G29" s="40" t="n">
        <v>8.5</v>
      </c>
    </row>
    <row r="30">
      <c r="A30" s="38" t="n">
        <v>26</v>
      </c>
      <c r="B30" s="39" t="n">
        <v>46294</v>
      </c>
      <c r="C30" s="38" t="str">
        <f>IF(B30="","",CHOOSE(MONTH(B30),"Enero","Febrero","Marzo","Abril","Mayo","Junio","Julio","Agosto","Septiembre","Octubre","Noviembre","Diciembre"))</f>
        <v>Septiembre</v>
      </c>
      <c r="D30" s="11" t="inlineStr">
        <is>
          <t>Tecnologías de información</t>
        </is>
      </c>
      <c r="E30" s="11" t="inlineStr">
        <is>
          <t>Proyecto</t>
        </is>
      </c>
      <c r="F30" s="38" t="inlineStr">
        <is>
          <t>A tiempo</t>
        </is>
      </c>
      <c r="G30" s="40" t="n">
        <v>9</v>
      </c>
    </row>
    <row r="31">
      <c r="A31" s="38" t="n">
        <v>27</v>
      </c>
      <c r="B31" s="39" t="n">
        <v>46295</v>
      </c>
      <c r="C31" s="38" t="str">
        <f>IF(B31="","",CHOOSE(MONTH(B31),"Enero","Febrero","Marzo","Abril","Mayo","Junio","Julio","Agosto","Septiembre","Octubre","Noviembre","Diciembre"))</f>
        <v>Septiembre</v>
      </c>
      <c r="D31" s="11" t="inlineStr">
        <is>
          <t>Desarrollo humano</t>
        </is>
      </c>
      <c r="E31" s="11" t="inlineStr">
        <is>
          <t>Reporte de lectura</t>
        </is>
      </c>
      <c r="F31" s="38" t="inlineStr">
        <is>
          <t>A tiempo</t>
        </is>
      </c>
      <c r="G31" s="40" t="n">
        <v>9.300000000000001</v>
      </c>
    </row>
    <row r="32">
      <c r="A32" s="38" t="n">
        <v>28</v>
      </c>
      <c r="B32" s="39" t="n">
        <v>46295</v>
      </c>
      <c r="C32" s="38" t="str">
        <f>IF(B32="","",CHOOSE(MONTH(B32),"Enero","Febrero","Marzo","Abril","Mayo","Junio","Julio","Agosto","Septiembre","Octubre","Noviembre","Diciembre"))</f>
        <v>Septiembre</v>
      </c>
      <c r="D32" s="11" t="inlineStr">
        <is>
          <t>Matemáticas</t>
        </is>
      </c>
      <c r="E32" s="11" t="inlineStr">
        <is>
          <t>Tarea</t>
        </is>
      </c>
      <c r="F32" s="38" t="inlineStr">
        <is>
          <t>A tiempo</t>
        </is>
      </c>
      <c r="G32" s="40" t="n">
        <v>7.6</v>
      </c>
    </row>
    <row r="33">
      <c r="A33" s="38" t="n">
        <v>29</v>
      </c>
      <c r="B33" s="39" t="n">
        <v>46298</v>
      </c>
      <c r="C33" s="38" t="str">
        <f>IF(B33="","",CHOOSE(MONTH(B33),"Enero","Febrero","Marzo","Abril","Mayo","Junio","Julio","Agosto","Septiembre","Octubre","Noviembre","Diciembre"))</f>
        <v>Octubre</v>
      </c>
      <c r="D33" s="11" t="inlineStr">
        <is>
          <t>Comunicación oral y escrita</t>
        </is>
      </c>
      <c r="E33" s="11" t="inlineStr">
        <is>
          <t>Tarea</t>
        </is>
      </c>
      <c r="F33" s="38" t="inlineStr">
        <is>
          <t>A tiempo</t>
        </is>
      </c>
      <c r="G33" s="40" t="n">
        <v>9.5</v>
      </c>
    </row>
    <row r="34">
      <c r="A34" s="38" t="n">
        <v>30</v>
      </c>
      <c r="B34" s="39" t="n">
        <v>46299</v>
      </c>
      <c r="C34" s="38" t="str">
        <f>IF(B34="","",CHOOSE(MONTH(B34),"Enero","Febrero","Marzo","Abril","Mayo","Junio","Julio","Agosto","Septiembre","Octubre","Noviembre","Diciembre"))</f>
        <v>Octubre</v>
      </c>
      <c r="D34" s="11" t="inlineStr">
        <is>
          <t>Inglés</t>
        </is>
      </c>
      <c r="E34" s="11" t="inlineStr">
        <is>
          <t>Ejercicios de repaso</t>
        </is>
      </c>
      <c r="F34" s="38" t="inlineStr">
        <is>
          <t>A tiempo</t>
        </is>
      </c>
      <c r="G34" s="40" t="n">
        <v>7.9</v>
      </c>
    </row>
    <row r="35">
      <c r="A35" s="38" t="n">
        <v>31</v>
      </c>
      <c r="B35" s="39" t="n">
        <v>46299</v>
      </c>
      <c r="C35" s="38" t="str">
        <f>IF(B35="","",CHOOSE(MONTH(B35),"Enero","Febrero","Marzo","Abril","Mayo","Junio","Julio","Agosto","Septiembre","Octubre","Noviembre","Diciembre"))</f>
        <v>Octubre</v>
      </c>
      <c r="D35" s="11" t="inlineStr">
        <is>
          <t>Matemáticas</t>
        </is>
      </c>
      <c r="E35" s="11" t="inlineStr">
        <is>
          <t>Reporte de lectura</t>
        </is>
      </c>
      <c r="F35" s="38" t="inlineStr">
        <is>
          <t>A tiempo</t>
        </is>
      </c>
      <c r="G35" s="40" t="n">
        <v>7.9</v>
      </c>
    </row>
    <row r="36">
      <c r="A36" s="38" t="n">
        <v>32</v>
      </c>
      <c r="B36" s="39" t="n">
        <v>46300</v>
      </c>
      <c r="C36" s="38" t="str">
        <f>IF(B36="","",CHOOSE(MONTH(B36),"Enero","Febrero","Marzo","Abril","Mayo","Junio","Julio","Agosto","Septiembre","Octubre","Noviembre","Diciembre"))</f>
        <v>Octubre</v>
      </c>
      <c r="D36" s="11" t="inlineStr">
        <is>
          <t>Tecnologías de información</t>
        </is>
      </c>
      <c r="E36" s="11" t="inlineStr">
        <is>
          <t>Tarea</t>
        </is>
      </c>
      <c r="F36" s="38" t="inlineStr">
        <is>
          <t>A tiempo</t>
        </is>
      </c>
      <c r="G36" s="40" t="n">
        <v>9.300000000000001</v>
      </c>
    </row>
    <row r="37">
      <c r="A37" s="38" t="n">
        <v>33</v>
      </c>
      <c r="B37" s="39" t="n">
        <v>46303</v>
      </c>
      <c r="C37" s="38" t="str">
        <f>IF(B37="","",CHOOSE(MONTH(B37),"Enero","Febrero","Marzo","Abril","Mayo","Junio","Julio","Agosto","Septiembre","Octubre","Noviembre","Diciembre"))</f>
        <v>Octubre</v>
      </c>
      <c r="D37" s="11" t="inlineStr">
        <is>
          <t>Desarrollo humano</t>
        </is>
      </c>
      <c r="E37" s="11" t="inlineStr">
        <is>
          <t>Proyecto</t>
        </is>
      </c>
      <c r="F37" s="38" t="inlineStr">
        <is>
          <t>A tiempo</t>
        </is>
      </c>
      <c r="G37" s="40" t="n">
        <v>9.6</v>
      </c>
    </row>
    <row r="38">
      <c r="A38" s="38" t="n">
        <v>34</v>
      </c>
      <c r="B38" s="39" t="n">
        <v>46303</v>
      </c>
      <c r="C38" s="38" t="str">
        <f>IF(B38="","",CHOOSE(MONTH(B38),"Enero","Febrero","Marzo","Abril","Mayo","Junio","Julio","Agosto","Septiembre","Octubre","Noviembre","Diciembre"))</f>
        <v>Octubre</v>
      </c>
      <c r="D38" s="11" t="inlineStr">
        <is>
          <t>Matemáticas</t>
        </is>
      </c>
      <c r="E38" s="11" t="inlineStr">
        <is>
          <t>Proyecto</t>
        </is>
      </c>
      <c r="F38" s="38" t="inlineStr">
        <is>
          <t>A tiempo</t>
        </is>
      </c>
      <c r="G38" s="40" t="n">
        <v>7.3</v>
      </c>
    </row>
    <row r="39">
      <c r="A39" s="38" t="n">
        <v>35</v>
      </c>
      <c r="B39" s="39" t="n">
        <v>46304</v>
      </c>
      <c r="C39" s="38" t="str">
        <f>IF(B39="","",CHOOSE(MONTH(B39),"Enero","Febrero","Marzo","Abril","Mayo","Junio","Julio","Agosto","Septiembre","Octubre","Noviembre","Diciembre"))</f>
        <v>Octubre</v>
      </c>
      <c r="D39" s="11" t="inlineStr">
        <is>
          <t>Comunicación oral y escrita</t>
        </is>
      </c>
      <c r="E39" s="11" t="inlineStr">
        <is>
          <t>Ejercicios de repaso</t>
        </is>
      </c>
      <c r="F39" s="38" t="inlineStr">
        <is>
          <t>A tiempo</t>
        </is>
      </c>
      <c r="G39" s="40" t="n">
        <v>8.9</v>
      </c>
    </row>
    <row r="40">
      <c r="A40" s="38" t="n">
        <v>36</v>
      </c>
      <c r="B40" s="39" t="n">
        <v>46304</v>
      </c>
      <c r="C40" s="38" t="str">
        <f>IF(B40="","",CHOOSE(MONTH(B40),"Enero","Febrero","Marzo","Abril","Mayo","Junio","Julio","Agosto","Septiembre","Octubre","Noviembre","Diciembre"))</f>
        <v>Octubre</v>
      </c>
      <c r="D40" s="11" t="inlineStr">
        <is>
          <t>Inglés</t>
        </is>
      </c>
      <c r="E40" s="11" t="inlineStr">
        <is>
          <t>Tarea</t>
        </is>
      </c>
      <c r="F40" s="38" t="inlineStr">
        <is>
          <t>A tiempo</t>
        </is>
      </c>
      <c r="G40" s="40" t="n">
        <v>8.199999999999999</v>
      </c>
    </row>
    <row r="41">
      <c r="A41" s="38" t="n">
        <v>37</v>
      </c>
      <c r="B41" s="39" t="n">
        <v>46306</v>
      </c>
      <c r="C41" s="38" t="str">
        <f>IF(B41="","",CHOOSE(MONTH(B41),"Enero","Febrero","Marzo","Abril","Mayo","Junio","Julio","Agosto","Septiembre","Octubre","Noviembre","Diciembre"))</f>
        <v>Octubre</v>
      </c>
      <c r="D41" s="11" t="inlineStr">
        <is>
          <t>Tecnologías de información</t>
        </is>
      </c>
      <c r="E41" s="11" t="inlineStr">
        <is>
          <t>Ejercicios de repaso</t>
        </is>
      </c>
      <c r="F41" s="38" t="inlineStr">
        <is>
          <t>A tiempo</t>
        </is>
      </c>
      <c r="G41" s="40" t="n">
        <v>8.699999999999999</v>
      </c>
    </row>
    <row r="42">
      <c r="A42" s="38" t="n">
        <v>38</v>
      </c>
      <c r="B42" s="39" t="n">
        <v>46309</v>
      </c>
      <c r="C42" s="38" t="str">
        <f>IF(B42="","",CHOOSE(MONTH(B42),"Enero","Febrero","Marzo","Abril","Mayo","Junio","Julio","Agosto","Septiembre","Octubre","Noviembre","Diciembre"))</f>
        <v>Octubre</v>
      </c>
      <c r="D42" s="11" t="inlineStr">
        <is>
          <t>Inglés</t>
        </is>
      </c>
      <c r="E42" s="11" t="inlineStr">
        <is>
          <t>Reporte de lectura</t>
        </is>
      </c>
      <c r="F42" s="38" t="inlineStr">
        <is>
          <t>A tiempo</t>
        </is>
      </c>
      <c r="G42" s="40" t="n">
        <v>8.5</v>
      </c>
    </row>
    <row r="43">
      <c r="A43" s="38" t="n">
        <v>39</v>
      </c>
      <c r="B43" s="39" t="n">
        <v>46310</v>
      </c>
      <c r="C43" s="38" t="str">
        <f>IF(B43="","",CHOOSE(MONTH(B43),"Enero","Febrero","Marzo","Abril","Mayo","Junio","Julio","Agosto","Septiembre","Octubre","Noviembre","Diciembre"))</f>
        <v>Octubre</v>
      </c>
      <c r="D43" s="11" t="inlineStr">
        <is>
          <t>Comunicación oral y escrita</t>
        </is>
      </c>
      <c r="E43" s="11" t="inlineStr">
        <is>
          <t>Tarea</t>
        </is>
      </c>
      <c r="F43" s="38" t="inlineStr">
        <is>
          <t>A tiempo</t>
        </is>
      </c>
      <c r="G43" s="40" t="n">
        <v>9.199999999999999</v>
      </c>
    </row>
    <row r="44">
      <c r="A44" s="38" t="n">
        <v>40</v>
      </c>
      <c r="B44" s="39" t="n">
        <v>46311</v>
      </c>
      <c r="C44" s="38" t="str">
        <f>IF(B44="","",CHOOSE(MONTH(B44),"Enero","Febrero","Marzo","Abril","Mayo","Junio","Julio","Agosto","Septiembre","Octubre","Noviembre","Diciembre"))</f>
        <v>Octubre</v>
      </c>
      <c r="D44" s="11" t="inlineStr">
        <is>
          <t>Desarrollo humano</t>
        </is>
      </c>
      <c r="E44" s="11" t="inlineStr">
        <is>
          <t>Tarea</t>
        </is>
      </c>
      <c r="F44" s="38" t="inlineStr">
        <is>
          <t>A tiempo</t>
        </is>
      </c>
      <c r="G44" s="40" t="n">
        <v>9.9</v>
      </c>
    </row>
  </sheetData>
  <dataValidations count="4">
    <dataValidation sqref="D5:D300" showDropDown="0" showInputMessage="0" showErrorMessage="0" allowBlank="1" type="list">
      <formula1>DATOS!$A$37:$A$41</formula1>
    </dataValidation>
    <dataValidation sqref="E5:E300" showDropDown="0" showInputMessage="0" showErrorMessage="0" allowBlank="1" type="list">
      <formula1>"Tarea,Ejercicios de repaso,Reporte de lectura,Proyecto"</formula1>
    </dataValidation>
    <dataValidation sqref="F5:F300" showDropDown="0" showInputMessage="0" showErrorMessage="0" allowBlank="1" type="list">
      <formula1>"A tiempo,Con retraso,No entregada"</formula1>
    </dataValidation>
    <dataValidation sqref="G5:G300" showDropDown="0" showInputMessage="0" showErrorMessage="0" allowBlank="1" type="decimal" operator="between">
      <formula1>0</formula1>
      <formula2>10</formula2>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20" customWidth="1" min="1" max="1"/>
  </cols>
  <sheetData>
    <row r="1">
      <c r="A1" s="1" t="inlineStr">
        <is>
          <t>REFERENCIAS</t>
        </is>
      </c>
    </row>
    <row r="3" ht="40" customHeight="1">
      <c r="A3" s="30" t="inlineStr">
        <is>
          <t>Dunlosky, J., Rawson, K. A., Marsh, E. J., Nathan, M. J., &amp; Willingham, D. T. (2013). Improving students’ learning with effective learning techniques: Promising directions from cognitive and educational psychology. Psychological Science in the Public Interest, 14(1), 4–58. https://doi.org/10.1177/1529100612453266</t>
        </is>
      </c>
    </row>
    <row r="4" ht="15" customHeight="1">
      <c r="A4" s="30" t="inlineStr">
        <is>
          <t>Few, S. (2006). Information dashboard design: The effective visual communication of data. O’Reilly Media.</t>
        </is>
      </c>
    </row>
    <row r="5" ht="15" customHeight="1">
      <c r="A5" s="30" t="inlineStr">
        <is>
          <t>Parmenter, D. (2015). Key performance indicators: Developing, implementing, and using winning KPIs (3rd ed.). John Wiley &amp; Sons.</t>
        </is>
      </c>
    </row>
    <row r="7">
      <c r="A7" s="4" t="inlineStr">
        <is>
          <t>Videos de apoyo del curso (YouTube)</t>
        </is>
      </c>
    </row>
    <row r="8">
      <c r="A8" s="11" t="inlineStr">
        <is>
          <t>https://www.youtube.com/watch?v=830NHbvbo5g</t>
        </is>
      </c>
    </row>
    <row r="9">
      <c r="A9" s="11" t="inlineStr">
        <is>
          <t>https://www.youtube.com/watch?v=Oanr41Tz28U</t>
        </is>
      </c>
    </row>
    <row r="10">
      <c r="A10" s="11" t="inlineStr">
        <is>
          <t>https://www.youtube.com/watch?v=Pfi1kE2tYBs</t>
        </is>
      </c>
    </row>
    <row r="11">
      <c r="A11" s="11" t="inlineStr">
        <is>
          <t>https://www.youtube.com/watch?v=D3kV5dMn5fk</t>
        </is>
      </c>
    </row>
    <row r="12">
      <c r="A12" s="11" t="inlineStr">
        <is>
          <t>https://www.youtube.com/watch?v=1SEOOoMEm78</t>
        </is>
      </c>
    </row>
  </sheetData>
  <hyperlinks>
    <hyperlink xmlns:r="http://schemas.openxmlformats.org/officeDocument/2006/relationships" ref="A8" r:id="rId1"/>
    <hyperlink xmlns:r="http://schemas.openxmlformats.org/officeDocument/2006/relationships" ref="A9" r:id="rId2"/>
    <hyperlink xmlns:r="http://schemas.openxmlformats.org/officeDocument/2006/relationships" ref="A10" r:id="rId3"/>
    <hyperlink xmlns:r="http://schemas.openxmlformats.org/officeDocument/2006/relationships" ref="A11" r:id="rId4"/>
    <hyperlink xmlns:r="http://schemas.openxmlformats.org/officeDocument/2006/relationships" ref="A12" r:id="rId5"/>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2026-10-25T03:20:35Z</dcterms:created>
  <dcterms:modified xmlns:dcterms="http://purl.org/dc/terms/" xmlns:xsi="http://www.w3.org/2001/XMLSchema-instance" xsi:type="dcterms:W3CDTF">2026-10-25T03:20:35Z</dcterms:modified>
</cp:coreProperties>
</file>